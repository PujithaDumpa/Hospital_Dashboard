
<file path=[Content_Types].xml><?xml version="1.0" encoding="utf-8"?>
<Types xmlns="http://schemas.openxmlformats.org/package/2006/content-types">
  <Default Extension="png" ContentType="image/png"/>
  <Default Extension="svg" ContentType="image/svg+xml"/>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C:\Users\ronan\Desktop\"/>
    </mc:Choice>
  </mc:AlternateContent>
  <xr:revisionPtr revIDLastSave="0" documentId="8_{F922BDC0-5F85-4974-90F7-055DB6179B21}" xr6:coauthVersionLast="36" xr6:coauthVersionMax="36" xr10:uidLastSave="{00000000-0000-0000-0000-000000000000}"/>
  <bookViews>
    <workbookView xWindow="0" yWindow="0" windowWidth="20490" windowHeight="7545" firstSheet="1" activeTab="2" xr2:uid="{9C210089-A077-46EA-90F1-8CFB21248A3F}"/>
  </bookViews>
  <sheets>
    <sheet name="pivot_tables" sheetId="1" r:id="rId1"/>
    <sheet name="daily_er_no_of_patients" sheetId="4" r:id="rId2"/>
    <sheet name="dashboard" sheetId="2" r:id="rId3"/>
    <sheet name="avg_waittime" sheetId="5" r:id="rId4"/>
    <sheet name="avg_satisfaction_ score" sheetId="6" r:id="rId5"/>
  </sheets>
  <definedNames>
    <definedName name="Slicer_Date__Month">#N/A</definedName>
    <definedName name="Slicer_Date__Year">#N/A</definedName>
  </definedNames>
  <calcPr calcId="191029"/>
  <pivotCaches>
    <pivotCache cacheId="16" r:id="rId6"/>
    <pivotCache cacheId="19" r:id="rId7"/>
    <pivotCache cacheId="22" r:id="rId8"/>
    <pivotCache cacheId="25" r:id="rId9"/>
    <pivotCache cacheId="28" r:id="rId10"/>
    <pivotCache cacheId="31" r:id="rId11"/>
    <pivotCache cacheId="34" r:id="rId12"/>
    <pivotCache cacheId="37" r:id="rId13"/>
    <pivotCache cacheId="40" r:id="rId14"/>
    <pivotCache cacheId="43" r:id="rId15"/>
    <pivotCache cacheId="46" r:id="rId16"/>
    <pivotCache cacheId="49" r:id="rId17"/>
    <pivotCache cacheId="52"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1_9aed7b7a-2c59-4256-99a4-cefa48dedca1" name="Hospital Emergency Room Data  1" connection="Query - Hospital Emergency Room Data (1)"/>
          <x15:modelTable id="Calendar_Table_cc99f9e9-d76a-47c9-9558-68234ee858b3" name="Calendar_Table" connection="Query - Calendar_Table"/>
        </x15:modelTables>
        <x15:modelRelationships>
          <x15:modelRelationship fromTable="Hospital Emergency Room Data  1"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B46" i="1" l="1"/>
  <c r="C46" i="1"/>
  <c r="B47" i="1"/>
  <c r="C47" i="1"/>
  <c r="A47" i="1"/>
  <c r="A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55C36B-6305-4D41-B516-F41DCA8D48EF}" name="Query - Calendar_Table" description="Connection to the 'Calendar_Table' query in the workbook." type="100" refreshedVersion="6" minRefreshableVersion="5">
    <extLst>
      <ext xmlns:x15="http://schemas.microsoft.com/office/spreadsheetml/2010/11/main" uri="{DE250136-89BD-433C-8126-D09CA5730AF9}">
        <x15:connection id="f2a439e3-7b60-438c-ac61-7a295c6569b5"/>
      </ext>
    </extLst>
  </connection>
  <connection id="2" xr16:uid="{680D9DDC-4E32-49FE-8389-AB7F9B7DA1BF}" name="Query - Hospital Emergency Room Data (1)" description="Connection to the 'Hospital Emergency Room Data (1)' query in the workbook." type="100" refreshedVersion="6" minRefreshableVersion="5">
    <extLst>
      <ext xmlns:x15="http://schemas.microsoft.com/office/spreadsheetml/2010/11/main" uri="{DE250136-89BD-433C-8126-D09CA5730AF9}">
        <x15:connection id="4524b32d-e763-4770-8650-1a79e442e870"/>
      </ext>
    </extLst>
  </connection>
  <connection id="3" xr16:uid="{640D7866-3534-4DE0-B8D2-7924427DE757}"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<sst xmlns="http://schemas.openxmlformats.org/spreadsheetml/2006/main" count="157" uniqueCount="79">
  <si>
    <t>Distinct Count of Patient Id</t>
  </si>
  <si>
    <t>Average of Patient Waittime</t>
  </si>
  <si>
    <t>Average of Patient Satisfaction Score</t>
  </si>
  <si>
    <t>Row Labels</t>
  </si>
  <si>
    <t>Grand Total</t>
  </si>
  <si>
    <t>Showing a daily trend with an area sparkline to spot patterns like busy days or seasonal trends</t>
  </si>
  <si>
    <t>daily trends of no of patients</t>
  </si>
  <si>
    <t>avg wait time</t>
  </si>
  <si>
    <t>Satisfaction score daily trend</t>
  </si>
  <si>
    <t>Count of Patient Admission Flag</t>
  </si>
  <si>
    <t>Admitted</t>
  </si>
  <si>
    <t>Not Admitted</t>
  </si>
  <si>
    <t>Count of Patient Admission Flag2</t>
  </si>
  <si>
    <t>Admission Status</t>
  </si>
  <si>
    <t>No. of patients</t>
  </si>
  <si>
    <t>%Status</t>
  </si>
  <si>
    <t>Count of Age Group</t>
  </si>
  <si>
    <t>0-09</t>
  </si>
  <si>
    <t>10-19</t>
  </si>
  <si>
    <t>20-29</t>
  </si>
  <si>
    <t>30-39</t>
  </si>
  <si>
    <t>40-49</t>
  </si>
  <si>
    <t>50-59</t>
  </si>
  <si>
    <t>60-69</t>
  </si>
  <si>
    <t>70-79</t>
  </si>
  <si>
    <t>Female</t>
  </si>
  <si>
    <t>None</t>
  </si>
  <si>
    <t>Ontime</t>
  </si>
  <si>
    <t>Delay</t>
  </si>
  <si>
    <t>Male</t>
  </si>
  <si>
    <t>General Practice</t>
  </si>
  <si>
    <t>Orthopedics</t>
  </si>
  <si>
    <t>Physiotherapy</t>
  </si>
  <si>
    <t>Cardiology</t>
  </si>
  <si>
    <t>Neurology</t>
  </si>
  <si>
    <t>Gastroenterology</t>
  </si>
  <si>
    <t>Renal</t>
  </si>
  <si>
    <t>Count of Patient Attend Status</t>
  </si>
  <si>
    <t>Count of Patient Gender</t>
  </si>
  <si>
    <t>Count of Department Referral</t>
  </si>
  <si>
    <t>2024</t>
  </si>
  <si>
    <t>Sum of Patient Satisfaction Score</t>
  </si>
  <si>
    <t xml:space="preserve"> </t>
  </si>
  <si>
    <t>tients</t>
  </si>
  <si>
    <t>admitted and not admitted patients count</t>
  </si>
  <si>
    <t>count of patients of each age group</t>
  </si>
  <si>
    <t>count of department referrals</t>
  </si>
  <si>
    <t>Area chart to track daily changes and highlight days with longer wait time the might need improvements</t>
  </si>
  <si>
    <t>Area sparkline to show trends,spot drops in satisfaction ,and link them to busy times or challenges</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</si>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</sst>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0"/>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2" borderId="0" xfId="0" applyFill="1"/>
    <xf numFmtId="1" fontId="0" fillId="0" borderId="0" xfId="0" applyNumberFormat="1"/>
    <xf numFmtId="10" fontId="0" fillId="0" borderId="0" xfId="0" applyNumberFormat="1"/>
    <xf numFmtId="0" fontId="0" fillId="3" borderId="0" xfId="0" applyFill="1"/>
    <xf numFmtId="0" fontId="0" fillId="4" borderId="0" xfId="0" applyFill="1"/>
    <xf numFmtId="0" fontId="1" fillId="4" borderId="0" xfId="0" applyFont="1" applyFill="1" applyAlignment="1">
      <alignment horizontal="center"/>
    </xf>
    <xf numFmtId="0" fontId="1" fillId="4" borderId="0" xfId="0" applyFont="1" applyFill="1"/>
    <xf numFmtId="0" fontId="2" fillId="4" borderId="0" xfId="0" applyFont="1" applyFill="1" applyAlignment="1">
      <alignment horizontal="center"/>
    </xf>
    <xf numFmtId="0" fontId="2" fillId="4" borderId="0" xfId="0" applyFont="1" applyFill="1"/>
    <xf numFmtId="0" fontId="3" fillId="4" borderId="0" xfId="0" applyFont="1" applyFill="1" applyAlignment="1">
      <alignment horizontal="center"/>
    </xf>
    <xf numFmtId="14" fontId="0" fillId="0" borderId="0" xfId="0" applyNumberFormat="1" applyAlignment="1">
      <alignment horizontal="left"/>
    </xf>
    <xf numFmtId="0" fontId="1" fillId="5" borderId="1" xfId="0" applyFont="1" applyFill="1" applyBorder="1"/>
    <xf numFmtId="10" fontId="3" fillId="4" borderId="0" xfId="0" applyNumberFormat="1" applyFont="1" applyFill="1" applyAlignment="1">
      <alignment horizontal="center"/>
    </xf>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2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2" formatCode="0.00"/>
    </dxf>
    <dxf>
      <font>
        <name val="Bahnschrift"/>
        <family val="2"/>
        <scheme val="none"/>
      </font>
      <fill>
        <patternFill>
          <bgColor theme="0"/>
        </patternFill>
      </fill>
      <border diagonalUp="0" diagonalDown="0">
        <left/>
        <right/>
        <top/>
        <bottom/>
        <vertical/>
        <horizontal/>
      </border>
    </dxf>
    <dxf>
      <font>
        <b/>
        <color theme="1"/>
      </font>
      <border>
        <bottom style="thin">
          <color theme="7"/>
        </bottom>
        <vertical/>
        <horizontal/>
      </border>
    </dxf>
    <dxf>
      <font>
        <b val="0"/>
        <i val="0"/>
        <sz val="9"/>
        <color theme="1"/>
        <name val="Arial Rounded MT Bold"/>
        <family val="2"/>
        <scheme val="none"/>
      </font>
      <fill>
        <patternFill>
          <bgColor theme="0"/>
        </patternFill>
      </fill>
      <border diagonalUp="0" diagonalDown="0">
        <left/>
        <right/>
        <top/>
        <bottom/>
        <vertical/>
        <horizontal/>
      </border>
    </dxf>
  </dxfs>
  <tableStyles count="2" defaultTableStyle="TableStyleMedium2" defaultPivotStyle="PivotStyleLight16">
    <tableStyle name="my style" pivot="0" table="0" count="10" xr9:uid="{510A44D5-F97B-45F1-BC64-78FB9BEB7BC9}">
      <tableStyleElement type="wholeTable" dxfId="26"/>
      <tableStyleElement type="headerRow" dxfId="25"/>
    </tableStyle>
    <tableStyle name="Slicer Style 1" pivot="0" table="0" count="1" xr9:uid="{D4AE7EEA-9911-4518-9C53-B6D06CD24BE8}">
      <tableStyleElement type="wholeTable" dxfId="24"/>
    </tableStyle>
  </tableStyles>
  <colors>
    <mruColors>
      <color rgb="FF000066"/>
      <color rgb="FF00009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1.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[hospital_emergency_room_dashboard.xlsx]pivot_tables!PivotTable7</c:name>
    <c:fmtId val="5"/>
  </c:pivotSource>
  <c:chart>
    <c:autoTitleDeleted val="0"/>
    <c:pivotFmts>
      <c:pivotFmt>
        <c:idx val="0"/>
        <c:spPr>
          <a:solidFill>
            <a:schemeClr val="accent5">
              <a:lumMod val="50000"/>
            </a:schemeClr>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lumMod val="50000"/>
            </a:schemeClr>
          </a:solidFill>
          <a:ln>
            <a:noFill/>
          </a:ln>
          <a:effectLst/>
        </c:spPr>
      </c:pivotFmt>
      <c:pivotFmt>
        <c:idx val="3"/>
        <c:spPr>
          <a:solidFill>
            <a:schemeClr val="accent5">
              <a:lumMod val="50000"/>
            </a:schemeClr>
          </a:solidFill>
          <a:ln>
            <a:noFill/>
          </a:ln>
          <a:effectLst/>
        </c:spPr>
      </c:pivotFmt>
    </c:pivotFmts>
    <c:plotArea>
      <c:layout>
        <c:manualLayout>
          <c:layoutTarget val="inner"/>
          <c:xMode val="edge"/>
          <c:yMode val="edge"/>
          <c:x val="3.7464240414924174E-2"/>
          <c:y val="0.21476494934562923"/>
          <c:w val="0.38707390297093641"/>
          <c:h val="0.55257302219660576"/>
        </c:manualLayout>
      </c:layout>
      <c:barChart>
        <c:barDir val="bar"/>
        <c:grouping val="clustered"/>
        <c:varyColors val="0"/>
        <c:ser>
          <c:idx val="0"/>
          <c:order val="0"/>
          <c:tx>
            <c:strRef>
              <c:f>pivot_tables!$B$39</c:f>
              <c:strCache>
                <c:ptCount val="1"/>
                <c:pt idx="0">
                  <c:v>Count of Patient Admission Flag</c:v>
                </c:pt>
              </c:strCache>
            </c:strRef>
          </c:tx>
          <c:spPr>
            <a:solidFill>
              <a:schemeClr val="accent5">
                <a:lumMod val="50000"/>
              </a:schemeClr>
            </a:solidFill>
            <a:ln>
              <a:noFill/>
            </a:ln>
            <a:effectLst/>
          </c:spPr>
          <c:invertIfNegative val="0"/>
          <c:dPt>
            <c:idx val="0"/>
            <c:invertIfNegative val="0"/>
            <c:bubble3D val="0"/>
            <c:extLst>
              <c:ext xmlns:c16="http://schemas.microsoft.com/office/drawing/2014/chart" uri="{C3380CC4-5D6E-409C-BE32-E72D297353CC}">
                <c16:uniqueId val="{00000000-81F0-44E9-9922-44FCFDEED284}"/>
              </c:ext>
            </c:extLst>
          </c:dPt>
          <c:dPt>
            <c:idx val="1"/>
            <c:invertIfNegative val="0"/>
            <c:bubble3D val="0"/>
            <c:extLst>
              <c:ext xmlns:c16="http://schemas.microsoft.com/office/drawing/2014/chart" uri="{C3380CC4-5D6E-409C-BE32-E72D297353CC}">
                <c16:uniqueId val="{00000001-81F0-44E9-9922-44FCFDEED284}"/>
              </c:ext>
            </c:extLst>
          </c:dPt>
          <c:cat>
            <c:strRef>
              <c:f>pivot_tables!$A$40:$A$42</c:f>
              <c:strCache>
                <c:ptCount val="2"/>
                <c:pt idx="0">
                  <c:v>Admitted</c:v>
                </c:pt>
                <c:pt idx="1">
                  <c:v>Not Admitted</c:v>
                </c:pt>
              </c:strCache>
            </c:strRef>
          </c:cat>
          <c:val>
            <c:numRef>
              <c:f>pivot_tables!$B$40:$B$42</c:f>
              <c:numCache>
                <c:formatCode>0</c:formatCode>
                <c:ptCount val="2"/>
                <c:pt idx="0">
                  <c:v>217</c:v>
                </c:pt>
                <c:pt idx="1">
                  <c:v>252</c:v>
                </c:pt>
              </c:numCache>
            </c:numRef>
          </c:val>
          <c:extLst>
            <c:ext xmlns:c16="http://schemas.microsoft.com/office/drawing/2014/chart" uri="{C3380CC4-5D6E-409C-BE32-E72D297353CC}">
              <c16:uniqueId val="{00000002-8B7E-468B-AC64-6690DE06D30E}"/>
            </c:ext>
          </c:extLst>
        </c:ser>
        <c:ser>
          <c:idx val="1"/>
          <c:order val="1"/>
          <c:tx>
            <c:strRef>
              <c:f>pivot_tables!$C$39</c:f>
              <c:strCache>
                <c:ptCount val="1"/>
                <c:pt idx="0">
                  <c:v>Count of Patient Admission Flag2</c:v>
                </c:pt>
              </c:strCache>
            </c:strRef>
          </c:tx>
          <c:spPr>
            <a:solidFill>
              <a:schemeClr val="accent2"/>
            </a:solidFill>
            <a:ln>
              <a:noFill/>
            </a:ln>
            <a:effectLst/>
          </c:spPr>
          <c:invertIfNegative val="0"/>
          <c:cat>
            <c:strRef>
              <c:f>pivot_tables!$A$40:$A$42</c:f>
              <c:strCache>
                <c:ptCount val="2"/>
                <c:pt idx="0">
                  <c:v>Admitted</c:v>
                </c:pt>
                <c:pt idx="1">
                  <c:v>Not Admitted</c:v>
                </c:pt>
              </c:strCache>
            </c:strRef>
          </c:cat>
          <c:val>
            <c:numRef>
              <c:f>pivot_tables!$C$40:$C$42</c:f>
              <c:numCache>
                <c:formatCode>0.00%</c:formatCode>
                <c:ptCount val="2"/>
                <c:pt idx="0">
                  <c:v>0.46268656716417911</c:v>
                </c:pt>
                <c:pt idx="1">
                  <c:v>0.53731343283582089</c:v>
                </c:pt>
              </c:numCache>
            </c:numRef>
          </c:val>
          <c:extLst>
            <c:ext xmlns:c16="http://schemas.microsoft.com/office/drawing/2014/chart" uri="{C3380CC4-5D6E-409C-BE32-E72D297353CC}">
              <c16:uniqueId val="{00000003-8B7E-468B-AC64-6690DE06D30E}"/>
            </c:ext>
          </c:extLst>
        </c:ser>
        <c:dLbls>
          <c:showLegendKey val="0"/>
          <c:showVal val="0"/>
          <c:showCatName val="0"/>
          <c:showSerName val="0"/>
          <c:showPercent val="0"/>
          <c:showBubbleSize val="0"/>
        </c:dLbls>
        <c:gapWidth val="53"/>
        <c:axId val="201640928"/>
        <c:axId val="193767440"/>
      </c:barChart>
      <c:catAx>
        <c:axId val="201640928"/>
        <c:scaling>
          <c:orientation val="minMax"/>
        </c:scaling>
        <c:delete val="1"/>
        <c:axPos val="l"/>
        <c:numFmt formatCode="General" sourceLinked="1"/>
        <c:majorTickMark val="none"/>
        <c:minorTickMark val="none"/>
        <c:tickLblPos val="nextTo"/>
        <c:crossAx val="193767440"/>
        <c:crosses val="autoZero"/>
        <c:auto val="1"/>
        <c:lblAlgn val="ctr"/>
        <c:lblOffset val="100"/>
        <c:noMultiLvlLbl val="0"/>
      </c:catAx>
      <c:valAx>
        <c:axId val="193767440"/>
        <c:scaling>
          <c:orientation val="minMax"/>
        </c:scaling>
        <c:delete val="1"/>
        <c:axPos val="b"/>
        <c:numFmt formatCode="0" sourceLinked="1"/>
        <c:majorTickMark val="none"/>
        <c:minorTickMark val="none"/>
        <c:tickLblPos val="nextTo"/>
        <c:crossAx val="20164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[hospital_emergency_room_dashboard.xlsx]pivot_tables!PivotTable1</c:name>
    <c:fmtId val="21"/>
  </c:pivotSource>
  <c:chart>
    <c:autoTitleDeleted val="1"/>
    <c:pivotFmts>
      <c:pivotFmt>
        <c:idx val="0"/>
      </c:pivotFmt>
      <c:pivotFmt>
        <c:idx val="1"/>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864818024263431E-2"/>
          <c:y val="0"/>
          <c:w val="0.94916233391103411"/>
          <c:h val="0.76743839311752693"/>
        </c:manualLayout>
      </c:layout>
      <c:areaChart>
        <c:grouping val="standard"/>
        <c:varyColors val="0"/>
        <c:ser>
          <c:idx val="0"/>
          <c:order val="0"/>
          <c:tx>
            <c:strRef>
              <c:f>pivot_tables!$E$4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pivot_tables!$D$5:$D$35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pivot_tables!$E$5:$E$35</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0D07-4EB8-B365-18F46BBBF97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89325599"/>
        <c:axId val="2082629567"/>
      </c:areaChart>
      <c:catAx>
        <c:axId val="20893255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2082629567"/>
        <c:crosses val="autoZero"/>
        <c:auto val="1"/>
        <c:lblAlgn val="ctr"/>
        <c:lblOffset val="100"/>
        <c:noMultiLvlLbl val="0"/>
      </c:catAx>
      <c:valAx>
        <c:axId val="2082629567"/>
        <c:scaling>
          <c:orientation val="minMax"/>
        </c:scaling>
        <c:delete val="1"/>
        <c:axPos val="l"/>
        <c:numFmt formatCode="General" sourceLinked="1"/>
        <c:majorTickMark val="out"/>
        <c:minorTickMark val="none"/>
        <c:tickLblPos val="nextTo"/>
        <c:crossAx val="2089325599"/>
        <c:crosses val="autoZero"/>
        <c:crossBetween val="midCat"/>
      </c:valAx>
      <c:spPr>
        <a:solidFill>
          <a:srgbClr val="002060"/>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[hospital_emergency_room_dashboard.xlsx]pivot_tables!PivotTable1</c:name>
    <c:fmtId val="1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5">
              <a:lumMod val="50000"/>
            </a:schemeClr>
          </a:solidFill>
          <a:ln w="25400">
            <a:noFill/>
          </a:ln>
          <a:effectLst/>
        </c:spPr>
        <c:marker>
          <c:symbol val="none"/>
        </c:marker>
      </c:pivotFmt>
    </c:pivotFmts>
    <c:plotArea>
      <c:layout>
        <c:manualLayout>
          <c:layoutTarget val="inner"/>
          <c:xMode val="edge"/>
          <c:yMode val="edge"/>
          <c:x val="1.5191056197719271E-2"/>
          <c:y val="0.30803223529196044"/>
          <c:w val="0.97930221828504649"/>
          <c:h val="0.44214221464320025"/>
        </c:manualLayout>
      </c:layout>
      <c:areaChart>
        <c:grouping val="standard"/>
        <c:varyColors val="0"/>
        <c:ser>
          <c:idx val="0"/>
          <c:order val="0"/>
          <c:tx>
            <c:strRef>
              <c:f>pivot_tables!$E$4</c:f>
              <c:strCache>
                <c:ptCount val="1"/>
                <c:pt idx="0">
                  <c:v>Total</c:v>
                </c:pt>
              </c:strCache>
            </c:strRef>
          </c:tx>
          <c:spPr>
            <a:solidFill>
              <a:schemeClr val="accent5">
                <a:lumMod val="50000"/>
              </a:schemeClr>
            </a:solidFill>
            <a:ln w="25400">
              <a:noFill/>
            </a:ln>
            <a:effectLst/>
          </c:spPr>
          <c:cat>
            <c:strRef>
              <c:f>pivot_tables!$D$5:$D$35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pivot_tables!$E$5:$E$35</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4762-44CD-B488-917F86C6CB51}"/>
            </c:ext>
          </c:extLst>
        </c:ser>
        <c:dLbls>
          <c:showLegendKey val="0"/>
          <c:showVal val="0"/>
          <c:showCatName val="0"/>
          <c:showSerName val="0"/>
          <c:showPercent val="0"/>
          <c:showBubbleSize val="0"/>
        </c:dLbls>
        <c:axId val="2089326799"/>
        <c:axId val="149950511"/>
      </c:areaChart>
      <c:catAx>
        <c:axId val="2089326799"/>
        <c:scaling>
          <c:orientation val="minMax"/>
        </c:scaling>
        <c:delete val="1"/>
        <c:axPos val="b"/>
        <c:numFmt formatCode="General" sourceLinked="1"/>
        <c:majorTickMark val="out"/>
        <c:minorTickMark val="none"/>
        <c:tickLblPos val="nextTo"/>
        <c:crossAx val="149950511"/>
        <c:crosses val="autoZero"/>
        <c:auto val="1"/>
        <c:lblAlgn val="ctr"/>
        <c:lblOffset val="100"/>
        <c:noMultiLvlLbl val="0"/>
      </c:catAx>
      <c:valAx>
        <c:axId val="149950511"/>
        <c:scaling>
          <c:orientation val="minMax"/>
        </c:scaling>
        <c:delete val="1"/>
        <c:axPos val="l"/>
        <c:numFmt formatCode="General" sourceLinked="1"/>
        <c:majorTickMark val="none"/>
        <c:minorTickMark val="none"/>
        <c:tickLblPos val="nextTo"/>
        <c:crossAx val="2089326799"/>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[hospital_emergency_room_dashboard.xlsx]pivot_tables!PivotTable2</c:name>
    <c:fmtId val="2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lumMod val="50000"/>
            </a:schemeClr>
          </a:solidFill>
          <a:ln w="25400">
            <a:noFill/>
          </a:ln>
          <a:effectLst/>
        </c:spPr>
        <c:marker>
          <c:symbol val="none"/>
        </c:marker>
      </c:pivotFmt>
    </c:pivotFmts>
    <c:plotArea>
      <c:layout>
        <c:manualLayout>
          <c:layoutTarget val="inner"/>
          <c:xMode val="edge"/>
          <c:yMode val="edge"/>
          <c:x val="0"/>
          <c:y val="0.25333196150436876"/>
          <c:w val="1"/>
          <c:h val="0.51849199062935292"/>
        </c:manualLayout>
      </c:layout>
      <c:areaChart>
        <c:grouping val="standard"/>
        <c:varyColors val="0"/>
        <c:ser>
          <c:idx val="0"/>
          <c:order val="0"/>
          <c:tx>
            <c:strRef>
              <c:f>pivot_tables!$H$4</c:f>
              <c:strCache>
                <c:ptCount val="1"/>
                <c:pt idx="0">
                  <c:v>Total</c:v>
                </c:pt>
              </c:strCache>
            </c:strRef>
          </c:tx>
          <c:spPr>
            <a:solidFill>
              <a:schemeClr val="accent5">
                <a:lumMod val="50000"/>
              </a:schemeClr>
            </a:solidFill>
            <a:ln w="25400">
              <a:noFill/>
            </a:ln>
            <a:effectLst/>
          </c:spPr>
          <c:cat>
            <c:strRef>
              <c:f>pivot_tables!$G$5:$G$35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pivot_tables!$H$5:$H$35</c:f>
              <c:numCache>
                <c:formatCode>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86EF-4913-8EEE-F2756AFB4CD0}"/>
            </c:ext>
          </c:extLst>
        </c:ser>
        <c:dLbls>
          <c:showLegendKey val="0"/>
          <c:showVal val="0"/>
          <c:showCatName val="0"/>
          <c:showSerName val="0"/>
          <c:showPercent val="0"/>
          <c:showBubbleSize val="0"/>
        </c:dLbls>
        <c:axId val="1921793807"/>
        <c:axId val="155009791"/>
      </c:areaChart>
      <c:catAx>
        <c:axId val="1921793807"/>
        <c:scaling>
          <c:orientation val="minMax"/>
        </c:scaling>
        <c:delete val="1"/>
        <c:axPos val="b"/>
        <c:numFmt formatCode="General" sourceLinked="1"/>
        <c:majorTickMark val="out"/>
        <c:minorTickMark val="none"/>
        <c:tickLblPos val="nextTo"/>
        <c:crossAx val="155009791"/>
        <c:crosses val="autoZero"/>
        <c:auto val="1"/>
        <c:lblAlgn val="ctr"/>
        <c:lblOffset val="100"/>
        <c:noMultiLvlLbl val="0"/>
      </c:catAx>
      <c:valAx>
        <c:axId val="155009791"/>
        <c:scaling>
          <c:orientation val="minMax"/>
        </c:scaling>
        <c:delete val="1"/>
        <c:axPos val="l"/>
        <c:numFmt formatCode="0" sourceLinked="1"/>
        <c:majorTickMark val="none"/>
        <c:minorTickMark val="none"/>
        <c:tickLblPos val="nextTo"/>
        <c:crossAx val="19217938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[hospital_emergency_room_dashboard.xlsx]pivot_tables!PivotTable6</c:name>
    <c:fmtId val="3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lumMod val="50000"/>
            </a:schemeClr>
          </a:solidFill>
          <a:ln w="25400">
            <a:noFill/>
          </a:ln>
          <a:effectLst/>
        </c:spPr>
        <c:marker>
          <c:symbol val="none"/>
        </c:marker>
      </c:pivotFmt>
    </c:pivotFmts>
    <c:plotArea>
      <c:layout>
        <c:manualLayout>
          <c:layoutTarget val="inner"/>
          <c:xMode val="edge"/>
          <c:yMode val="edge"/>
          <c:x val="2.4499984888460766E-2"/>
          <c:y val="0"/>
          <c:w val="0.94283336859359157"/>
          <c:h val="1"/>
        </c:manualLayout>
      </c:layout>
      <c:areaChart>
        <c:grouping val="standard"/>
        <c:varyColors val="0"/>
        <c:ser>
          <c:idx val="0"/>
          <c:order val="0"/>
          <c:tx>
            <c:strRef>
              <c:f>pivot_tables!$K$4</c:f>
              <c:strCache>
                <c:ptCount val="1"/>
                <c:pt idx="0">
                  <c:v>Total</c:v>
                </c:pt>
              </c:strCache>
            </c:strRef>
          </c:tx>
          <c:spPr>
            <a:solidFill>
              <a:schemeClr val="accent5">
                <a:lumMod val="50000"/>
              </a:schemeClr>
            </a:solidFill>
            <a:ln w="25400">
              <a:noFill/>
            </a:ln>
            <a:effectLst/>
          </c:spPr>
          <c:cat>
            <c:strRef>
              <c:f>pivot_tables!$J$5:$J$32</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pivot_tables!$K$5:$K$32</c:f>
              <c:numCache>
                <c:formatCode>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B3E8-4C39-BBEA-CBC9E191B559}"/>
            </c:ext>
          </c:extLst>
        </c:ser>
        <c:dLbls>
          <c:showLegendKey val="0"/>
          <c:showVal val="0"/>
          <c:showCatName val="0"/>
          <c:showSerName val="0"/>
          <c:showPercent val="0"/>
          <c:showBubbleSize val="0"/>
        </c:dLbls>
        <c:axId val="358962799"/>
        <c:axId val="149948847"/>
      </c:areaChart>
      <c:catAx>
        <c:axId val="358962799"/>
        <c:scaling>
          <c:orientation val="minMax"/>
        </c:scaling>
        <c:delete val="1"/>
        <c:axPos val="b"/>
        <c:numFmt formatCode="General" sourceLinked="1"/>
        <c:majorTickMark val="out"/>
        <c:minorTickMark val="none"/>
        <c:tickLblPos val="nextTo"/>
        <c:crossAx val="149948847"/>
        <c:crosses val="autoZero"/>
        <c:auto val="1"/>
        <c:lblAlgn val="ctr"/>
        <c:lblOffset val="100"/>
        <c:noMultiLvlLbl val="0"/>
      </c:catAx>
      <c:valAx>
        <c:axId val="149948847"/>
        <c:scaling>
          <c:orientation val="minMax"/>
        </c:scaling>
        <c:delete val="1"/>
        <c:axPos val="l"/>
        <c:numFmt formatCode="0" sourceLinked="1"/>
        <c:majorTickMark val="none"/>
        <c:minorTickMark val="none"/>
        <c:tickLblPos val="nextTo"/>
        <c:crossAx val="358962799"/>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[hospital_emergency_room_dashboard.xlsx]pivot_tables!PivotTable8</c:name>
    <c:fmtId val="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1813315071560032E-2"/>
          <c:w val="0.91759890264862165"/>
          <c:h val="0.64251426426673608"/>
        </c:manualLayout>
      </c:layout>
      <c:barChart>
        <c:barDir val="col"/>
        <c:grouping val="clustered"/>
        <c:varyColors val="0"/>
        <c:ser>
          <c:idx val="0"/>
          <c:order val="0"/>
          <c:tx>
            <c:strRef>
              <c:f>pivot_tables!$B$51</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pivot_tables!$A$52:$A$60</c:f>
              <c:strCache>
                <c:ptCount val="8"/>
                <c:pt idx="0">
                  <c:v>0-09</c:v>
                </c:pt>
                <c:pt idx="1">
                  <c:v>10-19</c:v>
                </c:pt>
                <c:pt idx="2">
                  <c:v>20-29</c:v>
                </c:pt>
                <c:pt idx="3">
                  <c:v>30-39</c:v>
                </c:pt>
                <c:pt idx="4">
                  <c:v>40-49</c:v>
                </c:pt>
                <c:pt idx="5">
                  <c:v>50-59</c:v>
                </c:pt>
                <c:pt idx="6">
                  <c:v>60-69</c:v>
                </c:pt>
                <c:pt idx="7">
                  <c:v>70-79</c:v>
                </c:pt>
              </c:strCache>
            </c:strRef>
          </c:cat>
          <c:val>
            <c:numRef>
              <c:f>pivot_tables!$B$52:$B$60</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0-DDB5-4ABD-AB32-3AC9068FB3EC}"/>
            </c:ext>
          </c:extLst>
        </c:ser>
        <c:dLbls>
          <c:showLegendKey val="0"/>
          <c:showVal val="0"/>
          <c:showCatName val="0"/>
          <c:showSerName val="0"/>
          <c:showPercent val="0"/>
          <c:showBubbleSize val="0"/>
        </c:dLbls>
        <c:gapWidth val="219"/>
        <c:overlap val="-27"/>
        <c:axId val="431365776"/>
        <c:axId val="423481968"/>
      </c:barChart>
      <c:catAx>
        <c:axId val="43136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481968"/>
        <c:crosses val="autoZero"/>
        <c:auto val="1"/>
        <c:lblAlgn val="ctr"/>
        <c:lblOffset val="100"/>
        <c:noMultiLvlLbl val="0"/>
      </c:catAx>
      <c:valAx>
        <c:axId val="423481968"/>
        <c:scaling>
          <c:orientation val="minMax"/>
        </c:scaling>
        <c:delete val="1"/>
        <c:axPos val="l"/>
        <c:numFmt formatCode="0" sourceLinked="1"/>
        <c:majorTickMark val="none"/>
        <c:minorTickMark val="none"/>
        <c:tickLblPos val="nextTo"/>
        <c:crossAx val="431365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[hospital_emergency_room_dashboard.xlsx]pivot_tables!PivotTable9</c:name>
    <c:fmtId val="15"/>
  </c:pivotSource>
  <c:chart>
    <c:autoTitleDeleted val="1"/>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30568227385927144"/>
              <c:y val="-9.973568065167831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7400DB78-CCAC-4442-A8EE-6F79A7028574}" type="PERCENTAGE">
                  <a:rPr lang="en-US" sz="1200"/>
                  <a:pPr>
                    <a:defRPr>
                      <a:solidFill>
                        <a:schemeClr val="bg1"/>
                      </a:solidFill>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466609895411036"/>
                  <c:h val="0.19873437610960165"/>
                </c:manualLayout>
              </c15:layout>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6927033622085913"/>
              <c:y val="5.41865847446300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02A2B652-66D5-4431-B890-F47381642619}" type="PERCENTAGE">
                  <a:rPr lang="en-US" sz="1200"/>
                  <a:pPr>
                    <a:defRPr>
                      <a:solidFill>
                        <a:schemeClr val="bg1"/>
                      </a:solidFill>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466609895411036"/>
                  <c:h val="0.15612567219144613"/>
                </c:manualLayout>
              </c15:layout>
              <c15:dlblFieldTable/>
              <c15:showDataLabelsRange val="0"/>
            </c:ext>
          </c:extLst>
        </c:dLbl>
      </c:pivotFmt>
    </c:pivotFmts>
    <c:plotArea>
      <c:layout>
        <c:manualLayout>
          <c:layoutTarget val="inner"/>
          <c:xMode val="edge"/>
          <c:yMode val="edge"/>
          <c:x val="4.690599805833439E-2"/>
          <c:y val="9.5062702454250164E-2"/>
          <c:w val="0.70443786670043484"/>
          <c:h val="0.74655090370153343"/>
        </c:manualLayout>
      </c:layout>
      <c:pieChart>
        <c:varyColors val="1"/>
        <c:ser>
          <c:idx val="0"/>
          <c:order val="0"/>
          <c:tx>
            <c:strRef>
              <c:f>pivot_tables!$F$51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C43D-40C0-953A-07F70931080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C43D-40C0-953A-07F709310809}"/>
              </c:ext>
            </c:extLst>
          </c:dPt>
          <c:dLbls>
            <c:dLbl>
              <c:idx val="0"/>
              <c:layout>
                <c:manualLayout>
                  <c:x val="-0.30568227385927144"/>
                  <c:y val="-9.973568065167831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7400DB78-CCAC-4442-A8EE-6F79A7028574}" type="PERCENTAGE">
                      <a:rPr lang="en-US" sz="1200"/>
                      <a:pPr>
                        <a:defRPr>
                          <a:solidFill>
                            <a:schemeClr val="bg1"/>
                          </a:solidFill>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466609895411036"/>
                      <c:h val="0.19873437610960165"/>
                    </c:manualLayout>
                  </c15:layout>
                  <c15:dlblFieldTable/>
                  <c15:showDataLabelsRange val="0"/>
                </c:ext>
                <c:ext xmlns:c16="http://schemas.microsoft.com/office/drawing/2014/chart" uri="{C3380CC4-5D6E-409C-BE32-E72D297353CC}">
                  <c16:uniqueId val="{00000001-C43D-40C0-953A-07F709310809}"/>
                </c:ext>
              </c:extLst>
            </c:dLbl>
            <c:dLbl>
              <c:idx val="1"/>
              <c:layout>
                <c:manualLayout>
                  <c:x val="0.16927033622085913"/>
                  <c:y val="5.41865847446300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02A2B652-66D5-4431-B890-F47381642619}" type="PERCENTAGE">
                      <a:rPr lang="en-US" sz="1200"/>
                      <a:pPr>
                        <a:defRPr>
                          <a:solidFill>
                            <a:schemeClr val="bg1"/>
                          </a:solidFill>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466609895411036"/>
                      <c:h val="0.15612567219144613"/>
                    </c:manualLayout>
                  </c15:layout>
                  <c15:dlblFieldTable/>
                  <c15:showDataLabelsRange val="0"/>
                </c:ext>
                <c:ext xmlns:c16="http://schemas.microsoft.com/office/drawing/2014/chart" uri="{C3380CC4-5D6E-409C-BE32-E72D297353CC}">
                  <c16:uniqueId val="{00000003-C43D-40C0-953A-07F7093108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pivot_tables!$E$52:$E$54</c:f>
              <c:strCache>
                <c:ptCount val="2"/>
                <c:pt idx="0">
                  <c:v>Delay</c:v>
                </c:pt>
                <c:pt idx="1">
                  <c:v>Ontime</c:v>
                </c:pt>
              </c:strCache>
            </c:strRef>
          </c:cat>
          <c:val>
            <c:numRef>
              <c:f>pivot_tables!$F$52:$F$54</c:f>
              <c:numCache>
                <c:formatCode>0</c:formatCode>
                <c:ptCount val="2"/>
                <c:pt idx="0">
                  <c:v>268</c:v>
                </c:pt>
                <c:pt idx="1">
                  <c:v>201</c:v>
                </c:pt>
              </c:numCache>
            </c:numRef>
          </c:val>
          <c:extLst>
            <c:ext xmlns:c16="http://schemas.microsoft.com/office/drawing/2014/chart" uri="{C3380CC4-5D6E-409C-BE32-E72D297353CC}">
              <c16:uniqueId val="{00000004-AAEF-4CAD-9600-C33C3895B17D}"/>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12738592714532945"/>
          <c:y val="0"/>
          <c:w val="0.54420243974505089"/>
          <c:h val="0.119837818523826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[hospital_emergency_room_dashboard.xlsx]pivot_tables!PivotTable10</c:name>
    <c:fmtId val="2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6232658751023097"/>
          <c:y val="0.14127842009071959"/>
          <c:w val="0.55811453497478192"/>
          <c:h val="0.68092410810116788"/>
        </c:manualLayout>
      </c:layout>
      <c:doughnutChart>
        <c:varyColors val="1"/>
        <c:ser>
          <c:idx val="0"/>
          <c:order val="0"/>
          <c:tx>
            <c:strRef>
              <c:f>pivot_tables!$F$58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AB-4DD0-9F8B-9D76F0D919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AB-4DD0-9F8B-9D76F0D919FB}"/>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pivot_tables!$E$59:$E$61</c:f>
              <c:strCache>
                <c:ptCount val="2"/>
                <c:pt idx="0">
                  <c:v>Female</c:v>
                </c:pt>
                <c:pt idx="1">
                  <c:v>Male</c:v>
                </c:pt>
              </c:strCache>
            </c:strRef>
          </c:cat>
          <c:val>
            <c:numRef>
              <c:f>pivot_tables!$F$59:$F$61</c:f>
              <c:numCache>
                <c:formatCode>0</c:formatCode>
                <c:ptCount val="2"/>
                <c:pt idx="0">
                  <c:v>241</c:v>
                </c:pt>
                <c:pt idx="1">
                  <c:v>228</c:v>
                </c:pt>
              </c:numCache>
            </c:numRef>
          </c:val>
          <c:extLst>
            <c:ext xmlns:c16="http://schemas.microsoft.com/office/drawing/2014/chart" uri="{C3380CC4-5D6E-409C-BE32-E72D297353CC}">
              <c16:uniqueId val="{00000004-A629-42AD-A85E-68703BB3405B}"/>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[hospital_emergency_room_dashboard.xlsx]pivot_tables!PivotTable11</c:name>
    <c:fmtId val="2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16476352822361"/>
          <c:y val="0.15509404560986154"/>
          <c:w val="0.72135079068111041"/>
          <c:h val="0.67430250421929072"/>
        </c:manualLayout>
      </c:layout>
      <c:barChart>
        <c:barDir val="bar"/>
        <c:grouping val="clustered"/>
        <c:varyColors val="0"/>
        <c:ser>
          <c:idx val="0"/>
          <c:order val="0"/>
          <c:tx>
            <c:strRef>
              <c:f>pivot_tables!$B$64</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pivot_tables!$A$65:$A$73</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pivot_tables!$B$65:$B$73</c:f>
              <c:numCache>
                <c:formatCode>0</c:formatCode>
                <c:ptCount val="8"/>
                <c:pt idx="0">
                  <c:v>13</c:v>
                </c:pt>
                <c:pt idx="1">
                  <c:v>8</c:v>
                </c:pt>
                <c:pt idx="2">
                  <c:v>92</c:v>
                </c:pt>
                <c:pt idx="3">
                  <c:v>10</c:v>
                </c:pt>
                <c:pt idx="4">
                  <c:v>284</c:v>
                </c:pt>
                <c:pt idx="5">
                  <c:v>44</c:v>
                </c:pt>
                <c:pt idx="6">
                  <c:v>15</c:v>
                </c:pt>
                <c:pt idx="7">
                  <c:v>3</c:v>
                </c:pt>
              </c:numCache>
            </c:numRef>
          </c:val>
          <c:extLst>
            <c:ext xmlns:c16="http://schemas.microsoft.com/office/drawing/2014/chart" uri="{C3380CC4-5D6E-409C-BE32-E72D297353CC}">
              <c16:uniqueId val="{00000000-7290-4F10-BA9C-6630EDFAC8DF}"/>
            </c:ext>
          </c:extLst>
        </c:ser>
        <c:dLbls>
          <c:showLegendKey val="0"/>
          <c:showVal val="0"/>
          <c:showCatName val="0"/>
          <c:showSerName val="0"/>
          <c:showPercent val="0"/>
          <c:showBubbleSize val="0"/>
        </c:dLbls>
        <c:gapWidth val="60"/>
        <c:axId val="201644128"/>
        <c:axId val="1700097376"/>
      </c:barChart>
      <c:catAx>
        <c:axId val="201644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097376"/>
        <c:crosses val="autoZero"/>
        <c:auto val="1"/>
        <c:lblAlgn val="ctr"/>
        <c:lblOffset val="100"/>
        <c:noMultiLvlLbl val="0"/>
      </c:catAx>
      <c:valAx>
        <c:axId val="1700097376"/>
        <c:scaling>
          <c:orientation val="minMax"/>
        </c:scaling>
        <c:delete val="1"/>
        <c:axPos val="b"/>
        <c:numFmt formatCode="0" sourceLinked="1"/>
        <c:majorTickMark val="none"/>
        <c:minorTickMark val="none"/>
        <c:tickLblPos val="nextTo"/>
        <c:crossAx val="201644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[hospital_emergency_room_dashboard.xlsx]pivot_tables!PivotTable2</c:name>
    <c:fmtId val="26"/>
  </c:pivotSource>
  <c:chart>
    <c:autoTitleDeleted val="1"/>
    <c:pivotFmts>
      <c:pivotFmt>
        <c:idx val="0"/>
      </c:pivotFmt>
      <c:pivotFmt>
        <c:idx val="1"/>
      </c:pivotFmt>
      <c:pivotFmt>
        <c:idx val="2"/>
      </c:pivotFmt>
      <c:pivotFmt>
        <c:idx val="3"/>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pivot_tables!$H$4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pivot_tables!$G$5:$G$35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pivot_tables!$H$5:$H$35</c:f>
              <c:numCache>
                <c:formatCode>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35C1-41D6-A3F4-93EE803AFE9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21793807"/>
        <c:axId val="155009791"/>
      </c:areaChart>
      <c:catAx>
        <c:axId val="19217938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5009791"/>
        <c:crosses val="autoZero"/>
        <c:auto val="1"/>
        <c:lblAlgn val="ctr"/>
        <c:lblOffset val="100"/>
        <c:noMultiLvlLbl val="0"/>
      </c:catAx>
      <c:valAx>
        <c:axId val="155009791"/>
        <c:scaling>
          <c:orientation val="minMax"/>
        </c:scaling>
        <c:delete val="1"/>
        <c:axPos val="l"/>
        <c:numFmt formatCode="0" sourceLinked="1"/>
        <c:majorTickMark val="out"/>
        <c:minorTickMark val="none"/>
        <c:tickLblPos val="nextTo"/>
        <c:crossAx val="1921793807"/>
        <c:crosses val="autoZero"/>
        <c:crossBetween val="midCat"/>
      </c:valAx>
      <c:spPr>
        <a:solidFill>
          <a:srgbClr val="002060"/>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[hospital_emergency_room_dashboard.xlsx]pivot_tables!PivotTable2</c:name>
    <c:fmtId val="28"/>
  </c:pivotSource>
  <c:chart>
    <c:autoTitleDeleted val="1"/>
    <c:pivotFmts>
      <c:pivotFmt>
        <c:idx val="0"/>
      </c:pivotFmt>
      <c:pivotFmt>
        <c:idx val="1"/>
      </c:pivotFmt>
      <c:pivotFmt>
        <c:idx val="2"/>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pivot_tables!$H$4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pivot_tables!$G$5:$G$35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pivot_tables!$H$5:$H$35</c:f>
              <c:numCache>
                <c:formatCode>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E0E5-4988-8A57-7B87ECE0AFD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58962799"/>
        <c:axId val="149948847"/>
      </c:areaChart>
      <c:catAx>
        <c:axId val="3589627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9948847"/>
        <c:crosses val="autoZero"/>
        <c:auto val="1"/>
        <c:lblAlgn val="ctr"/>
        <c:lblOffset val="100"/>
        <c:noMultiLvlLbl val="0"/>
      </c:catAx>
      <c:valAx>
        <c:axId val="149948847"/>
        <c:scaling>
          <c:orientation val="minMax"/>
        </c:scaling>
        <c:delete val="1"/>
        <c:axPos val="l"/>
        <c:numFmt formatCode="0" sourceLinked="1"/>
        <c:majorTickMark val="out"/>
        <c:minorTickMark val="none"/>
        <c:tickLblPos val="nextTo"/>
        <c:crossAx val="358962799"/>
        <c:crosses val="autoZero"/>
        <c:crossBetween val="midCat"/>
      </c:valAx>
      <c:spPr>
        <a:solidFill>
          <a:srgbClr val="002060"/>
        </a:solidFill>
        <a:ln>
          <a:noFill/>
        </a:ln>
        <a:effectLst/>
      </c:spPr>
    </c:plotArea>
    <c:plotVisOnly val="1"/>
    <c:dispBlanksAs val="zero"/>
    <c:showDLblsOverMax val="0"/>
    <c:extLst/>
  </c:chart>
  <c:spPr>
    <a:solidFill>
      <a:srgbClr val="00206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2.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hyperlink" Target="#'avg_satisfaction_ score'!A1"/><Relationship Id="rId18" Type="http://schemas.openxmlformats.org/officeDocument/2006/relationships/chart" Target="../charts/chart8.xml"/><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chart" Target="../charts/chart4.xml"/><Relationship Id="rId17" Type="http://schemas.openxmlformats.org/officeDocument/2006/relationships/chart" Target="../charts/chart7.xml"/><Relationship Id="rId2" Type="http://schemas.openxmlformats.org/officeDocument/2006/relationships/image" Target="../media/image4.svg"/><Relationship Id="rId16" Type="http://schemas.openxmlformats.org/officeDocument/2006/relationships/chart" Target="../charts/chart6.xml"/><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hyperlink" Target="#avg_waittime!A1"/><Relationship Id="rId5" Type="http://schemas.openxmlformats.org/officeDocument/2006/relationships/image" Target="../media/image7.png"/><Relationship Id="rId15" Type="http://schemas.openxmlformats.org/officeDocument/2006/relationships/image" Target="../media/image11.emf"/><Relationship Id="rId10" Type="http://schemas.openxmlformats.org/officeDocument/2006/relationships/chart" Target="../charts/chart3.xml"/><Relationship Id="rId19" Type="http://schemas.openxmlformats.org/officeDocument/2006/relationships/chart" Target="../charts/chart9.xml"/><Relationship Id="rId4" Type="http://schemas.openxmlformats.org/officeDocument/2006/relationships/image" Target="../media/image6.svg"/><Relationship Id="rId9" Type="http://schemas.openxmlformats.org/officeDocument/2006/relationships/hyperlink" Target="#daily_er_no_of_patients!A1"/><Relationship Id="rId1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3</xdr:col>
      <xdr:colOff>9525</xdr:colOff>
      <xdr:row>43</xdr:row>
      <xdr:rowOff>166687</xdr:rowOff>
    </xdr:from>
    <xdr:to>
      <xdr:col>4</xdr:col>
      <xdr:colOff>1000125</xdr:colOff>
      <xdr:row>47</xdr:row>
      <xdr:rowOff>114300</xdr:rowOff>
    </xdr:to>
    <xdr:graphicFrame macro="">
      <xdr:nvGraphicFramePr>
        <xdr:cNvPr id="4" name="Chart 3">
          <a:extLst>
            <a:ext uri="{FF2B5EF4-FFF2-40B4-BE49-F238E27FC236}">
              <a16:creationId xmlns:a16="http://schemas.microsoft.com/office/drawing/2014/main" id="{41D4A41C-2058-4AA3-9676-3758C11D8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152399</xdr:colOff>
      <xdr:row>0</xdr:row>
      <xdr:rowOff>142875</xdr:rowOff>
    </xdr:from>
    <xdr:to>
      <xdr:col>15</xdr:col>
      <xdr:colOff>552450</xdr:colOff>
      <xdr:row>21</xdr:row>
      <xdr:rowOff>95250</xdr:rowOff>
    </xdr:to>
    <xdr:graphicFrame macro="">
      <xdr:nvGraphicFramePr>
        <xdr:cNvPr id="3" name="Chart 2">
          <a:extLst>
            <a:ext uri="{FF2B5EF4-FFF2-40B4-BE49-F238E27FC236}">
              <a16:creationId xmlns:a16="http://schemas.microsoft.com/office/drawing/2014/main" id="{7CCE0103-39C4-4C04-8101-BDBD79793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142875</xdr:colOff>
      <xdr:row>0</xdr:row>
      <xdr:rowOff>161925</xdr:rowOff>
    </xdr:from>
    <xdr:to>
      <xdr:col>0</xdr:col>
      <xdr:colOff>504825</xdr:colOff>
      <xdr:row>2</xdr:row>
      <xdr:rowOff>142875</xdr:rowOff>
    </xdr:to>
    <xdr:pic>
      <xdr:nvPicPr>
        <xdr:cNvPr id="5" name="Graphic 4" descr="Home">
          <a:hlinkClick xmlns:r="http://schemas.openxmlformats.org/officeDocument/2006/relationships" r:id="rId2"/>
          <a:extLst>
            <a:ext uri="{FF2B5EF4-FFF2-40B4-BE49-F238E27FC236}">
              <a16:creationId xmlns:a16="http://schemas.microsoft.com/office/drawing/2014/main" id="{AE245EB9-08F8-4472-9984-A9FAA200BD9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42875" y="161925"/>
          <a:ext cx="361950" cy="361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57149</xdr:colOff>
      <xdr:row>0</xdr:row>
      <xdr:rowOff>66676</xdr:rowOff>
    </xdr:from>
    <xdr:to>
      <xdr:col>6</xdr:col>
      <xdr:colOff>342900</xdr:colOff>
      <xdr:row>4</xdr:row>
      <xdr:rowOff>184669</xdr:rowOff>
    </xdr:to>
    <xdr:sp macro="" textlink="">
      <xdr:nvSpPr>
        <xdr:cNvPr id="2" name="Rectangle: Rounded Corners 1">
          <a:extLst>
            <a:ext uri="{FF2B5EF4-FFF2-40B4-BE49-F238E27FC236}">
              <a16:creationId xmlns:a16="http://schemas.microsoft.com/office/drawing/2014/main" id="{7F799D87-D2B5-4C94-91DE-83AF7B1DBE20}"/>
            </a:ext>
          </a:extLst>
        </xdr:cNvPr>
        <xdr:cNvSpPr/>
      </xdr:nvSpPr>
      <xdr:spPr>
        <a:xfrm>
          <a:off x="57149" y="66676"/>
          <a:ext cx="3959680" cy="89554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400051</xdr:colOff>
      <xdr:row>0</xdr:row>
      <xdr:rowOff>76199</xdr:rowOff>
    </xdr:from>
    <xdr:to>
      <xdr:col>9</xdr:col>
      <xdr:colOff>76200</xdr:colOff>
      <xdr:row>4</xdr:row>
      <xdr:rowOff>174949</xdr:rowOff>
    </xdr:to>
    <xdr:sp macro="" textlink="">
      <xdr:nvSpPr>
        <xdr:cNvPr id="3" name="Rectangle: Rounded Corners 2">
          <a:extLst>
            <a:ext uri="{FF2B5EF4-FFF2-40B4-BE49-F238E27FC236}">
              <a16:creationId xmlns:a16="http://schemas.microsoft.com/office/drawing/2014/main" id="{C3CF68EA-8E91-4F62-B0B8-882F0F2B3CBC}"/>
            </a:ext>
          </a:extLst>
        </xdr:cNvPr>
        <xdr:cNvSpPr/>
      </xdr:nvSpPr>
      <xdr:spPr>
        <a:xfrm>
          <a:off x="4073980" y="76199"/>
          <a:ext cx="1513113" cy="87630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57150</xdr:colOff>
      <xdr:row>5</xdr:row>
      <xdr:rowOff>58316</xdr:rowOff>
    </xdr:from>
    <xdr:to>
      <xdr:col>1</xdr:col>
      <xdr:colOff>349899</xdr:colOff>
      <xdr:row>22</xdr:row>
      <xdr:rowOff>133350</xdr:rowOff>
    </xdr:to>
    <xdr:sp macro="" textlink="">
      <xdr:nvSpPr>
        <xdr:cNvPr id="6" name="Rectangle: Rounded Corners 5">
          <a:extLst>
            <a:ext uri="{FF2B5EF4-FFF2-40B4-BE49-F238E27FC236}">
              <a16:creationId xmlns:a16="http://schemas.microsoft.com/office/drawing/2014/main" id="{EC8DB0F3-273E-4F71-902C-9CD1BF74E8FF}"/>
            </a:ext>
          </a:extLst>
        </xdr:cNvPr>
        <xdr:cNvSpPr/>
      </xdr:nvSpPr>
      <xdr:spPr>
        <a:xfrm>
          <a:off x="57150" y="1030255"/>
          <a:ext cx="905070" cy="337962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133351</xdr:colOff>
      <xdr:row>0</xdr:row>
      <xdr:rowOff>66673</xdr:rowOff>
    </xdr:from>
    <xdr:to>
      <xdr:col>15</xdr:col>
      <xdr:colOff>301301</xdr:colOff>
      <xdr:row>10</xdr:row>
      <xdr:rowOff>29158</xdr:rowOff>
    </xdr:to>
    <xdr:grpSp>
      <xdr:nvGrpSpPr>
        <xdr:cNvPr id="18" name="Group 17">
          <a:extLst>
            <a:ext uri="{FF2B5EF4-FFF2-40B4-BE49-F238E27FC236}">
              <a16:creationId xmlns:a16="http://schemas.microsoft.com/office/drawing/2014/main" id="{A61C8EC1-391A-4FEC-BA71-458BC5A784A5}"/>
            </a:ext>
          </a:extLst>
        </xdr:cNvPr>
        <xdr:cNvGrpSpPr/>
      </xdr:nvGrpSpPr>
      <xdr:grpSpPr>
        <a:xfrm>
          <a:off x="5644244" y="66673"/>
          <a:ext cx="3841878" cy="1906363"/>
          <a:chOff x="5619750" y="66673"/>
          <a:chExt cx="4362451" cy="2095502"/>
        </a:xfrm>
      </xdr:grpSpPr>
      <xdr:sp macro="" textlink="">
        <xdr:nvSpPr>
          <xdr:cNvPr id="5" name="Rectangle: Rounded Corners 4">
            <a:extLst>
              <a:ext uri="{FF2B5EF4-FFF2-40B4-BE49-F238E27FC236}">
                <a16:creationId xmlns:a16="http://schemas.microsoft.com/office/drawing/2014/main" id="{A53C80B9-A3BC-4336-833E-0DCC52312CB2}"/>
              </a:ext>
            </a:extLst>
          </xdr:cNvPr>
          <xdr:cNvSpPr/>
        </xdr:nvSpPr>
        <xdr:spPr>
          <a:xfrm>
            <a:off x="7810500" y="66673"/>
            <a:ext cx="2171701" cy="209550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9183AD69-3CB1-4646-9759-725AD5242235}"/>
              </a:ext>
            </a:extLst>
          </xdr:cNvPr>
          <xdr:cNvSpPr/>
        </xdr:nvSpPr>
        <xdr:spPr>
          <a:xfrm>
            <a:off x="5619750" y="66675"/>
            <a:ext cx="2152650" cy="20859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xdr:col>
      <xdr:colOff>417934</xdr:colOff>
      <xdr:row>5</xdr:row>
      <xdr:rowOff>28189</xdr:rowOff>
    </xdr:from>
    <xdr:to>
      <xdr:col>9</xdr:col>
      <xdr:colOff>87475</xdr:colOff>
      <xdr:row>10</xdr:row>
      <xdr:rowOff>126353</xdr:rowOff>
    </xdr:to>
    <xdr:grpSp>
      <xdr:nvGrpSpPr>
        <xdr:cNvPr id="11" name="Group 10">
          <a:extLst>
            <a:ext uri="{FF2B5EF4-FFF2-40B4-BE49-F238E27FC236}">
              <a16:creationId xmlns:a16="http://schemas.microsoft.com/office/drawing/2014/main" id="{D8DA1722-4DA5-4670-9E79-7BC3E52DC39F}"/>
            </a:ext>
          </a:extLst>
        </xdr:cNvPr>
        <xdr:cNvGrpSpPr/>
      </xdr:nvGrpSpPr>
      <xdr:grpSpPr>
        <a:xfrm>
          <a:off x="1030255" y="1000128"/>
          <a:ext cx="4568113" cy="1070103"/>
          <a:chOff x="1030255" y="998613"/>
          <a:chExt cx="4568113" cy="1236847"/>
        </a:xfrm>
      </xdr:grpSpPr>
      <xdr:sp macro="" textlink="">
        <xdr:nvSpPr>
          <xdr:cNvPr id="8" name="Rectangle: Rounded Corners 7">
            <a:extLst>
              <a:ext uri="{FF2B5EF4-FFF2-40B4-BE49-F238E27FC236}">
                <a16:creationId xmlns:a16="http://schemas.microsoft.com/office/drawing/2014/main" id="{0E12C3B9-F343-46E2-AEF2-FACEC7E08EF2}"/>
              </a:ext>
            </a:extLst>
          </xdr:cNvPr>
          <xdr:cNvSpPr/>
        </xdr:nvSpPr>
        <xdr:spPr>
          <a:xfrm>
            <a:off x="4130740" y="998613"/>
            <a:ext cx="1467628" cy="121589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2CBEE33A-829E-4193-9F7A-CFFD3F37E86A}"/>
              </a:ext>
            </a:extLst>
          </xdr:cNvPr>
          <xdr:cNvSpPr/>
        </xdr:nvSpPr>
        <xdr:spPr>
          <a:xfrm>
            <a:off x="2585357" y="1019565"/>
            <a:ext cx="1506944" cy="121589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780CB0F5-8DE2-4D86-9E27-247BCE44BBE9}"/>
              </a:ext>
            </a:extLst>
          </xdr:cNvPr>
          <xdr:cNvSpPr/>
        </xdr:nvSpPr>
        <xdr:spPr>
          <a:xfrm>
            <a:off x="1030255" y="1019565"/>
            <a:ext cx="1492501" cy="121589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xdr:col>
      <xdr:colOff>427653</xdr:colOff>
      <xdr:row>11</xdr:row>
      <xdr:rowOff>29159</xdr:rowOff>
    </xdr:from>
    <xdr:to>
      <xdr:col>9</xdr:col>
      <xdr:colOff>106912</xdr:colOff>
      <xdr:row>14</xdr:row>
      <xdr:rowOff>106913</xdr:rowOff>
    </xdr:to>
    <xdr:sp macro="" textlink="">
      <xdr:nvSpPr>
        <xdr:cNvPr id="13" name="Rectangle: Rounded Corners 12">
          <a:extLst>
            <a:ext uri="{FF2B5EF4-FFF2-40B4-BE49-F238E27FC236}">
              <a16:creationId xmlns:a16="http://schemas.microsoft.com/office/drawing/2014/main" id="{8A7699A6-3B94-41E2-A221-7D9D7250CFBD}"/>
            </a:ext>
          </a:extLst>
        </xdr:cNvPr>
        <xdr:cNvSpPr/>
      </xdr:nvSpPr>
      <xdr:spPr>
        <a:xfrm>
          <a:off x="1039974" y="2167424"/>
          <a:ext cx="4577831" cy="660918"/>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155511</xdr:colOff>
      <xdr:row>10</xdr:row>
      <xdr:rowOff>97193</xdr:rowOff>
    </xdr:from>
    <xdr:to>
      <xdr:col>15</xdr:col>
      <xdr:colOff>320741</xdr:colOff>
      <xdr:row>22</xdr:row>
      <xdr:rowOff>143459</xdr:rowOff>
    </xdr:to>
    <xdr:sp macro="" textlink="">
      <xdr:nvSpPr>
        <xdr:cNvPr id="14" name="Rectangle: Rounded Corners 13">
          <a:extLst>
            <a:ext uri="{FF2B5EF4-FFF2-40B4-BE49-F238E27FC236}">
              <a16:creationId xmlns:a16="http://schemas.microsoft.com/office/drawing/2014/main" id="{C306863B-A240-4A8B-B844-A5ABA922A7A4}"/>
            </a:ext>
          </a:extLst>
        </xdr:cNvPr>
        <xdr:cNvSpPr/>
      </xdr:nvSpPr>
      <xdr:spPr>
        <a:xfrm>
          <a:off x="5666404" y="2041071"/>
          <a:ext cx="3839158" cy="237891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437373</xdr:colOff>
      <xdr:row>14</xdr:row>
      <xdr:rowOff>174949</xdr:rowOff>
    </xdr:from>
    <xdr:to>
      <xdr:col>9</xdr:col>
      <xdr:colOff>85725</xdr:colOff>
      <xdr:row>22</xdr:row>
      <xdr:rowOff>133352</xdr:rowOff>
    </xdr:to>
    <xdr:sp macro="" textlink="">
      <xdr:nvSpPr>
        <xdr:cNvPr id="15" name="Rectangle: Rounded Corners 14">
          <a:extLst>
            <a:ext uri="{FF2B5EF4-FFF2-40B4-BE49-F238E27FC236}">
              <a16:creationId xmlns:a16="http://schemas.microsoft.com/office/drawing/2014/main" id="{681EF0A4-48CD-4342-BB57-5A563834AB76}"/>
            </a:ext>
          </a:extLst>
        </xdr:cNvPr>
        <xdr:cNvSpPr/>
      </xdr:nvSpPr>
      <xdr:spPr>
        <a:xfrm>
          <a:off x="1049694" y="2896378"/>
          <a:ext cx="4546924" cy="151350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301302</xdr:colOff>
      <xdr:row>1</xdr:row>
      <xdr:rowOff>95834</xdr:rowOff>
    </xdr:from>
    <xdr:to>
      <xdr:col>6</xdr:col>
      <xdr:colOff>447092</xdr:colOff>
      <xdr:row>3</xdr:row>
      <xdr:rowOff>181558</xdr:rowOff>
    </xdr:to>
    <xdr:sp macro="" textlink="">
      <xdr:nvSpPr>
        <xdr:cNvPr id="17" name="TextBox 16">
          <a:extLst>
            <a:ext uri="{FF2B5EF4-FFF2-40B4-BE49-F238E27FC236}">
              <a16:creationId xmlns:a16="http://schemas.microsoft.com/office/drawing/2014/main" id="{7623B47A-649D-4B17-8C30-FD56815E6755}"/>
            </a:ext>
          </a:extLst>
        </xdr:cNvPr>
        <xdr:cNvSpPr txBox="1"/>
      </xdr:nvSpPr>
      <xdr:spPr>
        <a:xfrm>
          <a:off x="913623" y="290222"/>
          <a:ext cx="3207398" cy="474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solidFill>
                <a:schemeClr val="tx1"/>
              </a:solidFill>
              <a:latin typeface="Bahnschrift SemiBold" panose="020B0502040204020203" pitchFamily="34" charset="0"/>
            </a:rPr>
            <a:t>Hospital Emergency Room Dashboard</a:t>
          </a:r>
        </a:p>
        <a:p>
          <a:endParaRPr lang="en-IN" sz="1100"/>
        </a:p>
      </xdr:txBody>
    </xdr:sp>
    <xdr:clientData/>
  </xdr:twoCellAnchor>
  <xdr:twoCellAnchor>
    <xdr:from>
      <xdr:col>2</xdr:col>
      <xdr:colOff>371475</xdr:colOff>
      <xdr:row>2</xdr:row>
      <xdr:rowOff>123436</xdr:rowOff>
    </xdr:from>
    <xdr:to>
      <xdr:col>5</xdr:col>
      <xdr:colOff>314325</xdr:colOff>
      <xdr:row>4</xdr:row>
      <xdr:rowOff>66286</xdr:rowOff>
    </xdr:to>
    <xdr:sp macro="" textlink="">
      <xdr:nvSpPr>
        <xdr:cNvPr id="4" name="TextBox 3">
          <a:extLst>
            <a:ext uri="{FF2B5EF4-FFF2-40B4-BE49-F238E27FC236}">
              <a16:creationId xmlns:a16="http://schemas.microsoft.com/office/drawing/2014/main" id="{92A08FFB-4796-4D5F-8B25-F759AE930847}"/>
            </a:ext>
          </a:extLst>
        </xdr:cNvPr>
        <xdr:cNvSpPr txBox="1"/>
      </xdr:nvSpPr>
      <xdr:spPr>
        <a:xfrm>
          <a:off x="1596118" y="512212"/>
          <a:ext cx="1779814" cy="33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latin typeface="+mn-lt"/>
              <a:cs typeface="Arial" panose="020B0604020202020204" pitchFamily="34" charset="0"/>
            </a:rPr>
            <a:t>Monthly Report</a:t>
          </a:r>
        </a:p>
      </xdr:txBody>
    </xdr:sp>
    <xdr:clientData/>
  </xdr:twoCellAnchor>
  <xdr:twoCellAnchor>
    <xdr:from>
      <xdr:col>2</xdr:col>
      <xdr:colOff>4666</xdr:colOff>
      <xdr:row>7</xdr:row>
      <xdr:rowOff>18855</xdr:rowOff>
    </xdr:from>
    <xdr:to>
      <xdr:col>4</xdr:col>
      <xdr:colOff>559837</xdr:colOff>
      <xdr:row>8</xdr:row>
      <xdr:rowOff>152205</xdr:rowOff>
    </xdr:to>
    <xdr:sp macro="" textlink="">
      <xdr:nvSpPr>
        <xdr:cNvPr id="16" name="TextBox 15">
          <a:extLst>
            <a:ext uri="{FF2B5EF4-FFF2-40B4-BE49-F238E27FC236}">
              <a16:creationId xmlns:a16="http://schemas.microsoft.com/office/drawing/2014/main" id="{93679ACE-2267-4E3A-9BC6-57236503C62E}"/>
            </a:ext>
          </a:extLst>
        </xdr:cNvPr>
        <xdr:cNvSpPr txBox="1"/>
      </xdr:nvSpPr>
      <xdr:spPr>
        <a:xfrm>
          <a:off x="1229309" y="1379569"/>
          <a:ext cx="1779814" cy="327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latin typeface="+mn-lt"/>
            </a:rPr>
            <a:t>No.of</a:t>
          </a:r>
          <a:r>
            <a:rPr lang="en-IN" sz="1400" b="0" baseline="0">
              <a:latin typeface="+mn-lt"/>
            </a:rPr>
            <a:t> patients</a:t>
          </a:r>
          <a:endParaRPr lang="en-IN" sz="1400" b="0">
            <a:latin typeface="+mn-lt"/>
          </a:endParaRPr>
        </a:p>
      </xdr:txBody>
    </xdr:sp>
    <xdr:clientData/>
  </xdr:twoCellAnchor>
  <xdr:twoCellAnchor>
    <xdr:from>
      <xdr:col>4</xdr:col>
      <xdr:colOff>244345</xdr:colOff>
      <xdr:row>7</xdr:row>
      <xdr:rowOff>38295</xdr:rowOff>
    </xdr:from>
    <xdr:to>
      <xdr:col>7</xdr:col>
      <xdr:colOff>187195</xdr:colOff>
      <xdr:row>8</xdr:row>
      <xdr:rowOff>171645</xdr:rowOff>
    </xdr:to>
    <xdr:sp macro="" textlink="">
      <xdr:nvSpPr>
        <xdr:cNvPr id="19" name="TextBox 18">
          <a:extLst>
            <a:ext uri="{FF2B5EF4-FFF2-40B4-BE49-F238E27FC236}">
              <a16:creationId xmlns:a16="http://schemas.microsoft.com/office/drawing/2014/main" id="{2D26F13A-3D51-4CD6-9197-AA390BF30497}"/>
            </a:ext>
          </a:extLst>
        </xdr:cNvPr>
        <xdr:cNvSpPr txBox="1"/>
      </xdr:nvSpPr>
      <xdr:spPr>
        <a:xfrm>
          <a:off x="2693631" y="1399009"/>
          <a:ext cx="1779814" cy="327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latin typeface="+mn-lt"/>
            </a:rPr>
            <a:t>Avg. wait time()</a:t>
          </a:r>
        </a:p>
        <a:p>
          <a:endParaRPr lang="en-IN" sz="1200" b="0">
            <a:latin typeface="Bahnschrift" panose="020B0502040204020203" pitchFamily="34" charset="0"/>
          </a:endParaRPr>
        </a:p>
      </xdr:txBody>
    </xdr:sp>
    <xdr:clientData/>
  </xdr:twoCellAnchor>
  <xdr:twoCellAnchor>
    <xdr:from>
      <xdr:col>6</xdr:col>
      <xdr:colOff>533011</xdr:colOff>
      <xdr:row>6</xdr:row>
      <xdr:rowOff>152205</xdr:rowOff>
    </xdr:from>
    <xdr:to>
      <xdr:col>9</xdr:col>
      <xdr:colOff>66286</xdr:colOff>
      <xdr:row>9</xdr:row>
      <xdr:rowOff>87474</xdr:rowOff>
    </xdr:to>
    <xdr:sp macro="" textlink="">
      <xdr:nvSpPr>
        <xdr:cNvPr id="20" name="TextBox 19">
          <a:extLst>
            <a:ext uri="{FF2B5EF4-FFF2-40B4-BE49-F238E27FC236}">
              <a16:creationId xmlns:a16="http://schemas.microsoft.com/office/drawing/2014/main" id="{C66B1CC9-EE89-4ACD-BC9D-7265CFCF3CCE}"/>
            </a:ext>
          </a:extLst>
        </xdr:cNvPr>
        <xdr:cNvSpPr txBox="1"/>
      </xdr:nvSpPr>
      <xdr:spPr>
        <a:xfrm>
          <a:off x="4206940" y="1318532"/>
          <a:ext cx="1370239" cy="518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a:latin typeface="+mn-lt"/>
            </a:rPr>
            <a:t>Patient</a:t>
          </a:r>
          <a:r>
            <a:rPr lang="en-IN" sz="1100" b="0" baseline="0">
              <a:latin typeface="+mn-lt"/>
            </a:rPr>
            <a:t> Satisfaction</a:t>
          </a:r>
        </a:p>
        <a:p>
          <a:pPr algn="ctr"/>
          <a:r>
            <a:rPr lang="en-IN" sz="1100" b="0" baseline="0">
              <a:latin typeface="+mn-lt"/>
            </a:rPr>
            <a:t>score         </a:t>
          </a:r>
        </a:p>
        <a:p>
          <a:endParaRPr lang="en-IN" sz="1000" b="0">
            <a:latin typeface="Bahnschrift" panose="020B0502040204020203" pitchFamily="34" charset="0"/>
          </a:endParaRPr>
        </a:p>
      </xdr:txBody>
    </xdr:sp>
    <xdr:clientData/>
  </xdr:twoCellAnchor>
  <xdr:twoCellAnchor>
    <xdr:from>
      <xdr:col>6</xdr:col>
      <xdr:colOff>611931</xdr:colOff>
      <xdr:row>0</xdr:row>
      <xdr:rowOff>135876</xdr:rowOff>
    </xdr:from>
    <xdr:to>
      <xdr:col>10</xdr:col>
      <xdr:colOff>47235</xdr:colOff>
      <xdr:row>2</xdr:row>
      <xdr:rowOff>154926</xdr:rowOff>
    </xdr:to>
    <xdr:sp macro="" textlink="">
      <xdr:nvSpPr>
        <xdr:cNvPr id="22" name="TextBox 21">
          <a:extLst>
            <a:ext uri="{FF2B5EF4-FFF2-40B4-BE49-F238E27FC236}">
              <a16:creationId xmlns:a16="http://schemas.microsoft.com/office/drawing/2014/main" id="{CAB113ED-BB87-4C61-8565-14B6150950F4}"/>
            </a:ext>
          </a:extLst>
        </xdr:cNvPr>
        <xdr:cNvSpPr txBox="1"/>
      </xdr:nvSpPr>
      <xdr:spPr>
        <a:xfrm>
          <a:off x="4285860" y="135876"/>
          <a:ext cx="1884589" cy="407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latin typeface="Bahnschrift" panose="020B0502040204020203" pitchFamily="34" charset="0"/>
            </a:rPr>
            <a:t>Select Year</a:t>
          </a:r>
        </a:p>
        <a:p>
          <a:endParaRPr lang="en-IN" sz="1200" b="0">
            <a:latin typeface="+mn-lt"/>
          </a:endParaRPr>
        </a:p>
      </xdr:txBody>
    </xdr:sp>
    <xdr:clientData/>
  </xdr:twoCellAnchor>
  <xdr:twoCellAnchor>
    <xdr:from>
      <xdr:col>2</xdr:col>
      <xdr:colOff>244605</xdr:colOff>
      <xdr:row>5</xdr:row>
      <xdr:rowOff>133546</xdr:rowOff>
    </xdr:from>
    <xdr:to>
      <xdr:col>3</xdr:col>
      <xdr:colOff>330510</xdr:colOff>
      <xdr:row>7</xdr:row>
      <xdr:rowOff>76284</xdr:rowOff>
    </xdr:to>
    <xdr:sp macro="" textlink="pivot_tables!A5">
      <xdr:nvSpPr>
        <xdr:cNvPr id="28" name="TextBox 27">
          <a:extLst>
            <a:ext uri="{FF2B5EF4-FFF2-40B4-BE49-F238E27FC236}">
              <a16:creationId xmlns:a16="http://schemas.microsoft.com/office/drawing/2014/main" id="{11C408A3-B88F-4252-AA6C-519F034B1D89}"/>
            </a:ext>
          </a:extLst>
        </xdr:cNvPr>
        <xdr:cNvSpPr txBox="1"/>
      </xdr:nvSpPr>
      <xdr:spPr>
        <a:xfrm>
          <a:off x="1469248" y="1105485"/>
          <a:ext cx="698226" cy="331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4420EC-7965-4899-A297-A5D67578C148}" type="TxLink">
            <a:rPr lang="en-US" sz="1800" b="1" i="0" u="none" strike="noStrike">
              <a:solidFill>
                <a:srgbClr val="000000"/>
              </a:solidFill>
              <a:latin typeface="Calibri"/>
              <a:cs typeface="Calibri"/>
            </a:rPr>
            <a:pPr algn="ctr"/>
            <a:t>469</a:t>
          </a:fld>
          <a:endParaRPr lang="en-IN" sz="1800" b="1">
            <a:latin typeface="+mn-lt"/>
          </a:endParaRPr>
        </a:p>
      </xdr:txBody>
    </xdr:sp>
    <xdr:clientData/>
  </xdr:twoCellAnchor>
  <xdr:twoCellAnchor>
    <xdr:from>
      <xdr:col>4</xdr:col>
      <xdr:colOff>168533</xdr:colOff>
      <xdr:row>5</xdr:row>
      <xdr:rowOff>123437</xdr:rowOff>
    </xdr:from>
    <xdr:to>
      <xdr:col>6</xdr:col>
      <xdr:colOff>349508</xdr:colOff>
      <xdr:row>7</xdr:row>
      <xdr:rowOff>66287</xdr:rowOff>
    </xdr:to>
    <xdr:sp macro="" textlink="pivot_tables!A9">
      <xdr:nvSpPr>
        <xdr:cNvPr id="31" name="TextBox 30">
          <a:extLst>
            <a:ext uri="{FF2B5EF4-FFF2-40B4-BE49-F238E27FC236}">
              <a16:creationId xmlns:a16="http://schemas.microsoft.com/office/drawing/2014/main" id="{90D92989-7F49-4F1F-88D3-FE9177B67180}"/>
            </a:ext>
          </a:extLst>
        </xdr:cNvPr>
        <xdr:cNvSpPr txBox="1"/>
      </xdr:nvSpPr>
      <xdr:spPr>
        <a:xfrm>
          <a:off x="2617819" y="1095376"/>
          <a:ext cx="1405618" cy="33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2101FAF-C571-4E1B-9D4C-7A2EE0502C66}" type="TxLink">
            <a:rPr lang="en-US" sz="1800" b="1" i="0" u="none" strike="noStrike">
              <a:solidFill>
                <a:srgbClr val="000000"/>
              </a:solidFill>
              <a:latin typeface="Calibri"/>
              <a:cs typeface="Calibri"/>
            </a:rPr>
            <a:pPr algn="ctr"/>
            <a:t>35.04</a:t>
          </a:fld>
          <a:endParaRPr lang="en-IN" sz="1800" b="1">
            <a:latin typeface="+mn-lt"/>
          </a:endParaRPr>
        </a:p>
      </xdr:txBody>
    </xdr:sp>
    <xdr:clientData/>
  </xdr:twoCellAnchor>
  <xdr:twoCellAnchor>
    <xdr:from>
      <xdr:col>6</xdr:col>
      <xdr:colOff>455449</xdr:colOff>
      <xdr:row>5</xdr:row>
      <xdr:rowOff>94666</xdr:rowOff>
    </xdr:from>
    <xdr:to>
      <xdr:col>9</xdr:col>
      <xdr:colOff>26824</xdr:colOff>
      <xdr:row>7</xdr:row>
      <xdr:rowOff>37516</xdr:rowOff>
    </xdr:to>
    <xdr:sp macro="" textlink="pivot_tables!A13">
      <xdr:nvSpPr>
        <xdr:cNvPr id="34" name="TextBox 33">
          <a:extLst>
            <a:ext uri="{FF2B5EF4-FFF2-40B4-BE49-F238E27FC236}">
              <a16:creationId xmlns:a16="http://schemas.microsoft.com/office/drawing/2014/main" id="{1C65B23E-30FB-4D37-BCC8-CFAEB23CC92E}"/>
            </a:ext>
          </a:extLst>
        </xdr:cNvPr>
        <xdr:cNvSpPr txBox="1"/>
      </xdr:nvSpPr>
      <xdr:spPr>
        <a:xfrm>
          <a:off x="4129378" y="1066605"/>
          <a:ext cx="1408339" cy="33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A95F6D-BCCE-4FD8-AA5B-C00909A3B2E5}" type="TxLink">
            <a:rPr lang="en-US" sz="1800" b="1" i="0" u="none" strike="noStrike">
              <a:solidFill>
                <a:srgbClr val="000000"/>
              </a:solidFill>
              <a:latin typeface="Calibri"/>
              <a:cs typeface="Calibri"/>
            </a:rPr>
            <a:pPr algn="ctr"/>
            <a:t>4.63</a:t>
          </a:fld>
          <a:endParaRPr lang="en-IN" sz="1800" b="1">
            <a:latin typeface="+mn-lt"/>
          </a:endParaRPr>
        </a:p>
      </xdr:txBody>
    </xdr:sp>
    <xdr:clientData/>
  </xdr:twoCellAnchor>
  <xdr:twoCellAnchor editAs="oneCell">
    <xdr:from>
      <xdr:col>3</xdr:col>
      <xdr:colOff>310828</xdr:colOff>
      <xdr:row>5</xdr:row>
      <xdr:rowOff>124214</xdr:rowOff>
    </xdr:from>
    <xdr:to>
      <xdr:col>4</xdr:col>
      <xdr:colOff>82228</xdr:colOff>
      <xdr:row>7</xdr:row>
      <xdr:rowOff>86114</xdr:rowOff>
    </xdr:to>
    <xdr:pic>
      <xdr:nvPicPr>
        <xdr:cNvPr id="39" name="Graphic 38" descr="User">
          <a:extLst>
            <a:ext uri="{FF2B5EF4-FFF2-40B4-BE49-F238E27FC236}">
              <a16:creationId xmlns:a16="http://schemas.microsoft.com/office/drawing/2014/main" id="{E3A70E64-D1D6-40EB-9E80-8C3CD649A3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47792" y="1096153"/>
          <a:ext cx="383722" cy="350675"/>
        </a:xfrm>
        <a:prstGeom prst="rect">
          <a:avLst/>
        </a:prstGeom>
      </xdr:spPr>
    </xdr:pic>
    <xdr:clientData/>
  </xdr:twoCellAnchor>
  <xdr:twoCellAnchor editAs="oneCell">
    <xdr:from>
      <xdr:col>6</xdr:col>
      <xdr:colOff>55207</xdr:colOff>
      <xdr:row>5</xdr:row>
      <xdr:rowOff>123630</xdr:rowOff>
    </xdr:from>
    <xdr:to>
      <xdr:col>6</xdr:col>
      <xdr:colOff>407633</xdr:colOff>
      <xdr:row>7</xdr:row>
      <xdr:rowOff>56956</xdr:rowOff>
    </xdr:to>
    <xdr:pic>
      <xdr:nvPicPr>
        <xdr:cNvPr id="41" name="Graphic 40" descr="Hourglass">
          <a:extLst>
            <a:ext uri="{FF2B5EF4-FFF2-40B4-BE49-F238E27FC236}">
              <a16:creationId xmlns:a16="http://schemas.microsoft.com/office/drawing/2014/main" id="{E3E15EBB-F548-429E-B632-D53522D5877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729136" y="1095569"/>
          <a:ext cx="352426" cy="322101"/>
        </a:xfrm>
        <a:prstGeom prst="rect">
          <a:avLst/>
        </a:prstGeom>
      </xdr:spPr>
    </xdr:pic>
    <xdr:clientData/>
  </xdr:twoCellAnchor>
  <xdr:twoCellAnchor editAs="oneCell">
    <xdr:from>
      <xdr:col>8</xdr:col>
      <xdr:colOff>314325</xdr:colOff>
      <xdr:row>5</xdr:row>
      <xdr:rowOff>101986</xdr:rowOff>
    </xdr:from>
    <xdr:to>
      <xdr:col>9</xdr:col>
      <xdr:colOff>38100</xdr:colOff>
      <xdr:row>7</xdr:row>
      <xdr:rowOff>45866</xdr:rowOff>
    </xdr:to>
    <xdr:pic>
      <xdr:nvPicPr>
        <xdr:cNvPr id="43" name="Graphic 42" descr="Customer review">
          <a:extLst>
            <a:ext uri="{FF2B5EF4-FFF2-40B4-BE49-F238E27FC236}">
              <a16:creationId xmlns:a16="http://schemas.microsoft.com/office/drawing/2014/main" id="{7B427AAE-1093-491D-B3BB-2C3CAB37466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212896" y="1073925"/>
          <a:ext cx="336097" cy="332655"/>
        </a:xfrm>
        <a:prstGeom prst="rect">
          <a:avLst/>
        </a:prstGeom>
      </xdr:spPr>
    </xdr:pic>
    <xdr:clientData/>
  </xdr:twoCellAnchor>
  <xdr:twoCellAnchor editAs="oneCell">
    <xdr:from>
      <xdr:col>0</xdr:col>
      <xdr:colOff>123825</xdr:colOff>
      <xdr:row>0</xdr:row>
      <xdr:rowOff>136072</xdr:rowOff>
    </xdr:from>
    <xdr:to>
      <xdr:col>1</xdr:col>
      <xdr:colOff>228128</xdr:colOff>
      <xdr:row>4</xdr:row>
      <xdr:rowOff>87475</xdr:rowOff>
    </xdr:to>
    <xdr:pic>
      <xdr:nvPicPr>
        <xdr:cNvPr id="45" name="Graphic 44" descr="Hospital">
          <a:extLst>
            <a:ext uri="{FF2B5EF4-FFF2-40B4-BE49-F238E27FC236}">
              <a16:creationId xmlns:a16="http://schemas.microsoft.com/office/drawing/2014/main" id="{96020723-4704-438B-9569-4724FB0BF5C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23825" y="136072"/>
          <a:ext cx="716624" cy="728954"/>
        </a:xfrm>
        <a:prstGeom prst="rect">
          <a:avLst/>
        </a:prstGeom>
      </xdr:spPr>
    </xdr:pic>
    <xdr:clientData/>
  </xdr:twoCellAnchor>
  <xdr:twoCellAnchor editAs="oneCell">
    <xdr:from>
      <xdr:col>0</xdr:col>
      <xdr:colOff>136071</xdr:colOff>
      <xdr:row>5</xdr:row>
      <xdr:rowOff>165229</xdr:rowOff>
    </xdr:from>
    <xdr:to>
      <xdr:col>1</xdr:col>
      <xdr:colOff>301301</xdr:colOff>
      <xdr:row>22</xdr:row>
      <xdr:rowOff>77755</xdr:rowOff>
    </xdr:to>
    <mc:AlternateContent xmlns:mc="http://schemas.openxmlformats.org/markup-compatibility/2006" xmlns:a14="http://schemas.microsoft.com/office/drawing/2010/main">
      <mc:Choice Requires="a14">
        <xdr:graphicFrame macro="">
          <xdr:nvGraphicFramePr>
            <xdr:cNvPr id="47" name="Date (Month)">
              <a:extLst>
                <a:ext uri="{FF2B5EF4-FFF2-40B4-BE49-F238E27FC236}">
                  <a16:creationId xmlns:a16="http://schemas.microsoft.com/office/drawing/2014/main" id="{8792DCC5-7DB0-46EE-996F-339F9712B5C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36071" y="1137168"/>
              <a:ext cx="777551" cy="32171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398495</xdr:colOff>
      <xdr:row>6</xdr:row>
      <xdr:rowOff>155510</xdr:rowOff>
    </xdr:from>
    <xdr:to>
      <xdr:col>4</xdr:col>
      <xdr:colOff>106913</xdr:colOff>
      <xdr:row>11</xdr:row>
      <xdr:rowOff>165229</xdr:rowOff>
    </xdr:to>
    <xdr:graphicFrame macro="">
      <xdr:nvGraphicFramePr>
        <xdr:cNvPr id="56" name="Chart 55">
          <a:hlinkClick xmlns:r="http://schemas.openxmlformats.org/officeDocument/2006/relationships" r:id="rId9"/>
          <a:extLst>
            <a:ext uri="{FF2B5EF4-FFF2-40B4-BE49-F238E27FC236}">
              <a16:creationId xmlns:a16="http://schemas.microsoft.com/office/drawing/2014/main" id="{F12950C7-1814-4F3D-99FF-AC33F218C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126350</xdr:colOff>
      <xdr:row>7</xdr:row>
      <xdr:rowOff>116632</xdr:rowOff>
    </xdr:from>
    <xdr:to>
      <xdr:col>6</xdr:col>
      <xdr:colOff>447090</xdr:colOff>
      <xdr:row>11</xdr:row>
      <xdr:rowOff>97193</xdr:rowOff>
    </xdr:to>
    <xdr:graphicFrame macro="">
      <xdr:nvGraphicFramePr>
        <xdr:cNvPr id="57" name="Chart 56">
          <a:hlinkClick xmlns:r="http://schemas.openxmlformats.org/officeDocument/2006/relationships" r:id="rId11"/>
          <a:extLst>
            <a:ext uri="{FF2B5EF4-FFF2-40B4-BE49-F238E27FC236}">
              <a16:creationId xmlns:a16="http://schemas.microsoft.com/office/drawing/2014/main" id="{E881951B-104A-4A12-8709-8F038A22D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437372</xdr:colOff>
      <xdr:row>8</xdr:row>
      <xdr:rowOff>68036</xdr:rowOff>
    </xdr:from>
    <xdr:to>
      <xdr:col>9</xdr:col>
      <xdr:colOff>148408</xdr:colOff>
      <xdr:row>10</xdr:row>
      <xdr:rowOff>101923</xdr:rowOff>
    </xdr:to>
    <xdr:graphicFrame macro="">
      <xdr:nvGraphicFramePr>
        <xdr:cNvPr id="58" name="Chart 57">
          <a:hlinkClick xmlns:r="http://schemas.openxmlformats.org/officeDocument/2006/relationships" r:id="rId13"/>
          <a:extLst>
            <a:ext uri="{FF2B5EF4-FFF2-40B4-BE49-F238E27FC236}">
              <a16:creationId xmlns:a16="http://schemas.microsoft.com/office/drawing/2014/main" id="{58345604-38E2-427A-80C1-ED15A35E4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427654</xdr:colOff>
          <xdr:row>11</xdr:row>
          <xdr:rowOff>9722</xdr:rowOff>
        </xdr:from>
        <xdr:to>
          <xdr:col>9</xdr:col>
          <xdr:colOff>126352</xdr:colOff>
          <xdr:row>14</xdr:row>
          <xdr:rowOff>106914</xdr:rowOff>
        </xdr:to>
        <xdr:pic>
          <xdr:nvPicPr>
            <xdr:cNvPr id="35" name="Picture 34">
              <a:extLst>
                <a:ext uri="{FF2B5EF4-FFF2-40B4-BE49-F238E27FC236}">
                  <a16:creationId xmlns:a16="http://schemas.microsoft.com/office/drawing/2014/main" id="{BBE95CD5-93E2-4AFC-BD57-989AC790E78D}"/>
                </a:ext>
              </a:extLst>
            </xdr:cNvPr>
            <xdr:cNvPicPr>
              <a:picLocks noChangeAspect="1" noChangeArrowheads="1"/>
              <a:extLst>
                <a:ext uri="{84589F7E-364E-4C9E-8A38-B11213B215E9}">
                  <a14:cameraTool cellRange="pivot_tables!$A$45:$D$47" spid="_x0000_s2063"/>
                </a:ext>
              </a:extLst>
            </xdr:cNvPicPr>
          </xdr:nvPicPr>
          <xdr:blipFill rotWithShape="1">
            <a:blip xmlns:r="http://schemas.openxmlformats.org/officeDocument/2006/relationships" r:embed="rId15"/>
            <a:srcRect l="-1" r="2657"/>
            <a:stretch>
              <a:fillRect/>
            </a:stretch>
          </xdr:blipFill>
          <xdr:spPr bwMode="auto">
            <a:xfrm>
              <a:off x="1039975" y="2147987"/>
              <a:ext cx="4597270" cy="680356"/>
            </a:xfrm>
            <a:prstGeom prst="roundRect">
              <a:avLst>
                <a:gd name="adj" fmla="val 16667"/>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1</xdr:col>
      <xdr:colOff>554006</xdr:colOff>
      <xdr:row>15</xdr:row>
      <xdr:rowOff>38878</xdr:rowOff>
    </xdr:from>
    <xdr:to>
      <xdr:col>9</xdr:col>
      <xdr:colOff>398493</xdr:colOff>
      <xdr:row>21</xdr:row>
      <xdr:rowOff>106913</xdr:rowOff>
    </xdr:to>
    <xdr:graphicFrame macro="">
      <xdr:nvGraphicFramePr>
        <xdr:cNvPr id="36" name="Chart 35">
          <a:extLst>
            <a:ext uri="{FF2B5EF4-FFF2-40B4-BE49-F238E27FC236}">
              <a16:creationId xmlns:a16="http://schemas.microsoft.com/office/drawing/2014/main" id="{80E3E223-E9BF-4398-9981-5F84CDA41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485969</xdr:colOff>
      <xdr:row>21</xdr:row>
      <xdr:rowOff>19440</xdr:rowOff>
    </xdr:from>
    <xdr:to>
      <xdr:col>6</xdr:col>
      <xdr:colOff>563724</xdr:colOff>
      <xdr:row>22</xdr:row>
      <xdr:rowOff>97194</xdr:rowOff>
    </xdr:to>
    <xdr:sp macro="" textlink="">
      <xdr:nvSpPr>
        <xdr:cNvPr id="12" name="TextBox 11">
          <a:extLst>
            <a:ext uri="{FF2B5EF4-FFF2-40B4-BE49-F238E27FC236}">
              <a16:creationId xmlns:a16="http://schemas.microsoft.com/office/drawing/2014/main" id="{87DCE4C0-01EF-4064-92B2-3199B347FC0E}"/>
            </a:ext>
          </a:extLst>
        </xdr:cNvPr>
        <xdr:cNvSpPr txBox="1"/>
      </xdr:nvSpPr>
      <xdr:spPr>
        <a:xfrm>
          <a:off x="2322933" y="4101583"/>
          <a:ext cx="1914720" cy="272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No.</a:t>
          </a:r>
          <a:r>
            <a:rPr lang="en-IN" sz="1100" b="1" baseline="0"/>
            <a:t> of Patient by Age group</a:t>
          </a:r>
          <a:endParaRPr lang="en-IN" sz="1100" b="1"/>
        </a:p>
      </xdr:txBody>
    </xdr:sp>
    <xdr:clientData/>
  </xdr:twoCellAnchor>
  <xdr:twoCellAnchor>
    <xdr:from>
      <xdr:col>9</xdr:col>
      <xdr:colOff>311021</xdr:colOff>
      <xdr:row>0</xdr:row>
      <xdr:rowOff>136072</xdr:rowOff>
    </xdr:from>
    <xdr:to>
      <xdr:col>12</xdr:col>
      <xdr:colOff>369337</xdr:colOff>
      <xdr:row>9</xdr:row>
      <xdr:rowOff>174949</xdr:rowOff>
    </xdr:to>
    <xdr:graphicFrame macro="">
      <xdr:nvGraphicFramePr>
        <xdr:cNvPr id="38" name="Chart 37">
          <a:extLst>
            <a:ext uri="{FF2B5EF4-FFF2-40B4-BE49-F238E27FC236}">
              <a16:creationId xmlns:a16="http://schemas.microsoft.com/office/drawing/2014/main" id="{EBFB38FC-9274-4501-843C-2C4A9C26F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155512</xdr:colOff>
      <xdr:row>8</xdr:row>
      <xdr:rowOff>77754</xdr:rowOff>
    </xdr:from>
    <xdr:to>
      <xdr:col>12</xdr:col>
      <xdr:colOff>165230</xdr:colOff>
      <xdr:row>9</xdr:row>
      <xdr:rowOff>77755</xdr:rowOff>
    </xdr:to>
    <xdr:sp macro="" textlink="">
      <xdr:nvSpPr>
        <xdr:cNvPr id="21" name="TextBox 20">
          <a:extLst>
            <a:ext uri="{FF2B5EF4-FFF2-40B4-BE49-F238E27FC236}">
              <a16:creationId xmlns:a16="http://schemas.microsoft.com/office/drawing/2014/main" id="{CE096732-CCA1-42F0-A21A-B4C1DCA488FB}"/>
            </a:ext>
          </a:extLst>
        </xdr:cNvPr>
        <xdr:cNvSpPr txBox="1"/>
      </xdr:nvSpPr>
      <xdr:spPr>
        <a:xfrm>
          <a:off x="5666405" y="1632856"/>
          <a:ext cx="1846682" cy="194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t> Patients</a:t>
          </a:r>
          <a:r>
            <a:rPr lang="en-IN" sz="1050" baseline="0"/>
            <a:t> attended within time</a:t>
          </a:r>
        </a:p>
        <a:p>
          <a:endParaRPr lang="en-IN" sz="1100"/>
        </a:p>
      </xdr:txBody>
    </xdr:sp>
    <xdr:clientData/>
  </xdr:twoCellAnchor>
  <xdr:twoCellAnchor>
    <xdr:from>
      <xdr:col>11</xdr:col>
      <xdr:colOff>522127</xdr:colOff>
      <xdr:row>0</xdr:row>
      <xdr:rowOff>37516</xdr:rowOff>
    </xdr:from>
    <xdr:to>
      <xdr:col>15</xdr:col>
      <xdr:colOff>505409</xdr:colOff>
      <xdr:row>10</xdr:row>
      <xdr:rowOff>109638</xdr:rowOff>
    </xdr:to>
    <xdr:graphicFrame macro="">
      <xdr:nvGraphicFramePr>
        <xdr:cNvPr id="42" name="Chart 41">
          <a:extLst>
            <a:ext uri="{FF2B5EF4-FFF2-40B4-BE49-F238E27FC236}">
              <a16:creationId xmlns:a16="http://schemas.microsoft.com/office/drawing/2014/main" id="{0B62673A-572C-4EDE-8ED5-79B9E0722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408214</xdr:colOff>
      <xdr:row>8</xdr:row>
      <xdr:rowOff>97193</xdr:rowOff>
    </xdr:from>
    <xdr:to>
      <xdr:col>15</xdr:col>
      <xdr:colOff>213827</xdr:colOff>
      <xdr:row>9</xdr:row>
      <xdr:rowOff>174948</xdr:rowOff>
    </xdr:to>
    <xdr:sp macro="" textlink="">
      <xdr:nvSpPr>
        <xdr:cNvPr id="23" name="TextBox 22">
          <a:extLst>
            <a:ext uri="{FF2B5EF4-FFF2-40B4-BE49-F238E27FC236}">
              <a16:creationId xmlns:a16="http://schemas.microsoft.com/office/drawing/2014/main" id="{7E846F42-65C9-478E-85C3-171311C87F22}"/>
            </a:ext>
          </a:extLst>
        </xdr:cNvPr>
        <xdr:cNvSpPr txBox="1"/>
      </xdr:nvSpPr>
      <xdr:spPr>
        <a:xfrm>
          <a:off x="7756071" y="1652295"/>
          <a:ext cx="1642577"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t>No. of patients by gender</a:t>
          </a:r>
        </a:p>
      </xdr:txBody>
    </xdr:sp>
    <xdr:clientData/>
  </xdr:twoCellAnchor>
  <xdr:twoCellAnchor>
    <xdr:from>
      <xdr:col>9</xdr:col>
      <xdr:colOff>155510</xdr:colOff>
      <xdr:row>8</xdr:row>
      <xdr:rowOff>68037</xdr:rowOff>
    </xdr:from>
    <xdr:to>
      <xdr:col>15</xdr:col>
      <xdr:colOff>126351</xdr:colOff>
      <xdr:row>25</xdr:row>
      <xdr:rowOff>38877</xdr:rowOff>
    </xdr:to>
    <xdr:graphicFrame macro="">
      <xdr:nvGraphicFramePr>
        <xdr:cNvPr id="44" name="Chart 43">
          <a:extLst>
            <a:ext uri="{FF2B5EF4-FFF2-40B4-BE49-F238E27FC236}">
              <a16:creationId xmlns:a16="http://schemas.microsoft.com/office/drawing/2014/main" id="{006AB9D9-4439-4454-BF83-C0121F1A5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68036</xdr:colOff>
      <xdr:row>21</xdr:row>
      <xdr:rowOff>48597</xdr:rowOff>
    </xdr:from>
    <xdr:to>
      <xdr:col>15</xdr:col>
      <xdr:colOff>583164</xdr:colOff>
      <xdr:row>22</xdr:row>
      <xdr:rowOff>68036</xdr:rowOff>
    </xdr:to>
    <xdr:sp macro="" textlink="">
      <xdr:nvSpPr>
        <xdr:cNvPr id="24" name="TextBox 23">
          <a:extLst>
            <a:ext uri="{FF2B5EF4-FFF2-40B4-BE49-F238E27FC236}">
              <a16:creationId xmlns:a16="http://schemas.microsoft.com/office/drawing/2014/main" id="{4BA2A2DF-EF56-422A-96BF-62801E423480}"/>
            </a:ext>
          </a:extLst>
        </xdr:cNvPr>
        <xdr:cNvSpPr txBox="1"/>
      </xdr:nvSpPr>
      <xdr:spPr>
        <a:xfrm>
          <a:off x="7415893" y="4130740"/>
          <a:ext cx="2352092" cy="213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t>No. of patients by Department</a:t>
          </a:r>
        </a:p>
      </xdr:txBody>
    </xdr:sp>
    <xdr:clientData/>
  </xdr:twoCellAnchor>
  <xdr:twoCellAnchor editAs="oneCell">
    <xdr:from>
      <xdr:col>6</xdr:col>
      <xdr:colOff>466528</xdr:colOff>
      <xdr:row>2</xdr:row>
      <xdr:rowOff>38876</xdr:rowOff>
    </xdr:from>
    <xdr:to>
      <xdr:col>9</xdr:col>
      <xdr:colOff>48597</xdr:colOff>
      <xdr:row>4</xdr:row>
      <xdr:rowOff>136071</xdr:rowOff>
    </xdr:to>
    <mc:AlternateContent xmlns:mc="http://schemas.openxmlformats.org/markup-compatibility/2006" xmlns:a14="http://schemas.microsoft.com/office/drawing/2010/main">
      <mc:Choice Requires="a14">
        <xdr:graphicFrame macro="">
          <xdr:nvGraphicFramePr>
            <xdr:cNvPr id="46" name="Date (Year)">
              <a:extLst>
                <a:ext uri="{FF2B5EF4-FFF2-40B4-BE49-F238E27FC236}">
                  <a16:creationId xmlns:a16="http://schemas.microsoft.com/office/drawing/2014/main" id="{8F3955F4-1115-4C6B-AD54-ACA3D30480A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140457" y="427652"/>
              <a:ext cx="1419033" cy="485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247650</xdr:colOff>
      <xdr:row>1</xdr:row>
      <xdr:rowOff>38100</xdr:rowOff>
    </xdr:from>
    <xdr:to>
      <xdr:col>15</xdr:col>
      <xdr:colOff>514350</xdr:colOff>
      <xdr:row>21</xdr:row>
      <xdr:rowOff>142876</xdr:rowOff>
    </xdr:to>
    <xdr:graphicFrame macro="">
      <xdr:nvGraphicFramePr>
        <xdr:cNvPr id="2" name="Chart 1">
          <a:extLst>
            <a:ext uri="{FF2B5EF4-FFF2-40B4-BE49-F238E27FC236}">
              <a16:creationId xmlns:a16="http://schemas.microsoft.com/office/drawing/2014/main" id="{E048B708-B4C0-421A-8921-3D593C0C2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0.01328</cdr:x>
      <cdr:y>0.01695</cdr:y>
    </cdr:from>
    <cdr:to>
      <cdr:x>0.05162</cdr:x>
      <cdr:y>0.10896</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1FF97A8-CFC0-4B24-9EEB-A13F48A8C35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25021" y="66675"/>
          <a:ext cx="360754" cy="361951"/>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247650</xdr:colOff>
      <xdr:row>0</xdr:row>
      <xdr:rowOff>95249</xdr:rowOff>
    </xdr:from>
    <xdr:to>
      <xdr:col>15</xdr:col>
      <xdr:colOff>514350</xdr:colOff>
      <xdr:row>21</xdr:row>
      <xdr:rowOff>28574</xdr:rowOff>
    </xdr:to>
    <xdr:graphicFrame macro="">
      <xdr:nvGraphicFramePr>
        <xdr:cNvPr id="2" name="Chart 1">
          <a:extLst>
            <a:ext uri="{FF2B5EF4-FFF2-40B4-BE49-F238E27FC236}">
              <a16:creationId xmlns:a16="http://schemas.microsoft.com/office/drawing/2014/main" id="{A5C44EE8-FFEC-49FD-9928-663EE5E37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0.01328</cdr:x>
      <cdr:y>0.01695</cdr:y>
    </cdr:from>
    <cdr:to>
      <cdr:x>0.05162</cdr:x>
      <cdr:y>0.10896</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1FF97A8-CFC0-4B24-9EEB-A13F48A8C35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25021" y="66675"/>
          <a:ext cx="360754" cy="361951"/>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nan" refreshedDate="45865.929469560186" createdVersion="5" refreshedVersion="6" minRefreshableVersion="3" recordCount="0" supportSubquery="1" supportAdvancedDrill="1" xr:uid="{EA542BF3-E86C-4016-B425-AA94F9496242}">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nan" refreshedDate="45865.929473263888" createdVersion="5" refreshedVersion="6" minRefreshableVersion="3" recordCount="0" supportSubquery="1" supportAdvancedDrill="1" xr:uid="{8CCFFE20-5ECA-4215-A6EA-456F17E424DB}">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nan" refreshedDate="45865.929476504629" createdVersion="5" refreshedVersion="6" minRefreshableVersion="3" recordCount="0" supportSubquery="1" supportAdvancedDrill="1" xr:uid="{713A6068-5891-4C1F-871C-5E8DC23F9AE0}">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nan" refreshedDate="45865.929479745369" createdVersion="5" refreshedVersion="6" minRefreshableVersion="3" recordCount="0" supportSubquery="1" supportAdvancedDrill="1" xr:uid="{9E8CF369-762E-469E-AD2F-01E34537D5AD}">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nan" refreshedDate="45865.92948402778" createdVersion="5" refreshedVersion="6" minRefreshableVersion="3" recordCount="0" supportSubquery="1" supportAdvancedDrill="1" xr:uid="{3E964EE5-CFBE-4C00-8943-E18D8FF8D9D3}">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nan" refreshedDate="45865.929488194444" createdVersion="5" refreshedVersion="6" minRefreshableVersion="3" recordCount="0" supportSubquery="1" supportAdvancedDrill="1" xr:uid="{D21B7FD1-6818-4933-A798-396A8B040A41}">
  <cacheSource type="external" connectionId="3"/>
  <cacheFields count="4">
    <cacheField name="[Calendar_Table].[Date (Day)].[Date (Day)]" caption="Date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nan" refreshedDate="45865.929492013885" createdVersion="5" refreshedVersion="6" minRefreshableVersion="3" recordCount="0" supportSubquery="1" supportAdvancedDrill="1" xr:uid="{7F16B6FF-FA95-4BEC-8B8E-409CBE74A81C}">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  1].[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2"/>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nan" refreshedDate="45865.929495833334" createdVersion="5" refreshedVersion="6" minRefreshableVersion="3" recordCount="0" supportSubquery="1" supportAdvancedDrill="1" xr:uid="{CF6AA165-F16B-4704-B9A5-143613AF5107}">
  <cacheSource type="external" connectionId="3"/>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  1].[Age Group].[Age Group]" caption="Age Group" numFmtId="0" hierarchy="16" level="1">
      <sharedItems count="8">
        <s v="0-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fieldsUsage count="2">
        <fieldUsage x="-1"/>
        <fieldUsage x="2"/>
      </fieldsUsage>
    </cacheHierarchy>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nan" refreshedDate="45865.929499537036" createdVersion="5" refreshedVersion="6" minRefreshableVersion="3" recordCount="0" supportSubquery="1" supportAdvancedDrill="1" xr:uid="{6EAE8464-8665-407E-8FFE-ED2613A3EE94}">
  <cacheSource type="external" connectionId="3"/>
  <cacheFields count="4">
    <cacheField name="[Calendar_Table].[Date (Month)].[Date (Month)]" caption="Date (Month)" numFmtId="0" hierarchy="1" level="1">
      <sharedItems containsSemiMixedTypes="0" containsNonDate="0" containsString="0"/>
    </cacheField>
    <cacheField name="[Hospital Emergency Room Data  1].[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nan" refreshedDate="45865.929503240739" createdVersion="5" refreshedVersion="6" minRefreshableVersion="3" recordCount="0" supportSubquery="1" supportAdvancedDrill="1" xr:uid="{B4F23174-98F6-4C8C-807A-925EC93AA0C1}">
  <cacheSource type="external" connectionId="3"/>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  1].[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fieldsUsage count="2">
        <fieldUsage x="-1"/>
        <fieldUsage x="2"/>
      </fieldsUsage>
    </cacheHierarchy>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nan" refreshedDate="45865.929507060187" createdVersion="5" refreshedVersion="6" minRefreshableVersion="3" recordCount="0" supportSubquery="1" supportAdvancedDrill="1" xr:uid="{DD145288-B258-465D-BD38-91D2017C1E92}">
  <cacheSource type="external" connectionId="3"/>
  <cacheFields count="4">
    <cacheField name="[Calendar_Table].[Date (Month)].[Date (Month)]" caption="Date (Month)" numFmtId="0" hierarchy="1" level="1">
      <sharedItems containsSemiMixedTypes="0" containsNonDate="0" containsString="0"/>
    </cacheField>
    <cacheField name="[Hospital Emergency Room Data  1].[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fieldsUsage count="2">
        <fieldUsage x="-1"/>
        <fieldUsage x="1"/>
      </fieldsUsage>
    </cacheHierarchy>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nan" refreshedDate="45865.929510879629" createdVersion="5" refreshedVersion="6" minRefreshableVersion="3" recordCount="0" supportSubquery="1" supportAdvancedDrill="1" xr:uid="{A265AA47-31AB-4E94-9A70-51FD6480F570}">
  <cacheSource type="external" connectionId="3"/>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2"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2"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2"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2"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2"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2"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2"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2"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nan" refreshedDate="45865.929514583331" createdVersion="5" refreshedVersion="6" minRefreshableVersion="3" recordCount="0" supportSubquery="1" supportAdvancedDrill="1" xr:uid="{2D3C8F3D-0014-4FB9-8A0D-04F97A8CC65B}">
  <cacheSource type="external" connectionId="3"/>
  <cacheFields count="4">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 name="[Measures].[Sum of Patient Satisfaction Score]" caption="Sum of Patient Satisfaction Score" numFmtId="0" hierarchy="27" level="32767"/>
    <cacheField name="[Calendar_Table].[Date].[Date]" caption="Date" numFmtId="0" level="1">
      <sharedItems containsSemiMixedTypes="0" containsNonDate="0" containsDate="1" containsString="0" minDate="2024-04-02T00:00:00" maxDate="2024-05-01T00:00:00" count="27">
        <d v="2024-04-02T00:00:00"/>
        <d v="2024-04-03T00:00:00"/>
        <d v="2024-04-04T00:00:00"/>
        <d v="2024-04-05T00:00:00"/>
        <d v="2024-04-06T00:00:00"/>
        <d v="2024-04-07T00:00:00"/>
        <d v="2024-04-08T00:00:00"/>
        <d v="2024-04-09T00:00:00"/>
        <d v="2024-04-11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8T00:00:00"/>
        <d v="2024-04-29T00:00:00"/>
        <d v="2024-04-30T00:00:00"/>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3"/>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1" uniqueName="[Hospital Emergency Room Data  1]" caption="Hospital Emergency Room Data  1"/>
    <dimension measure="1" name="Measures" uniqueName="[Measures]" caption="Measures"/>
  </dimensions>
  <measureGroups count="2">
    <measureGroup name="Calendar_Table" caption="Calenda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nan" refreshedDate="45865.717691898149" createdVersion="3" refreshedVersion="6" minRefreshableVersion="3" recordCount="0" supportSubquery="1" supportAdvancedDrill="1" xr:uid="{BFA1926C-F9F8-4A13-9FC4-F184525B1BE9}">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384861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35D37A-CBDF-4A05-A81A-59C2A8562A09}" name="PivotTable12" cacheId="49" applyNumberFormats="0" applyBorderFormats="0" applyFontFormats="0" applyPatternFormats="0" applyAlignmentFormats="0" applyWidthHeightFormats="1" dataCaption="Values" tag="9b4ba4f8-553a-43d8-a62b-8ecd471e7296" updatedVersion="6" minRefreshableVersion="3" subtotalHiddenItems="1" itemPrintTitles="1" createdVersion="5" indent="0" outline="1" outlineData="1" multipleFieldFilters="0" chartFormat="21">
  <location ref="E65:E67"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12">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7A7167-8974-4B15-9203-6650E315D3B1}" name="PivotTable6" cacheId="31" applyNumberFormats="0" applyBorderFormats="0" applyFontFormats="0" applyPatternFormats="0" applyAlignmentFormats="0" applyWidthHeightFormats="1" dataCaption="Values" tag="38816278-620f-453d-8a04-e3fccc28c2e6" updatedVersion="6" minRefreshableVersion="3" itemPrintTitles="1" createdVersion="5" indent="0" outline="1" outlineData="1" multipleFieldFilters="0" chartFormat="33">
  <location ref="J4:K32"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1">
    <format dxfId="13">
      <pivotArea outline="0" collapsedLevelsAreSubtotals="1" fieldPosition="0"/>
    </format>
  </formats>
  <chartFormats count="3">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CAE40F-2A4B-4C44-B175-C9932B673FE7}" name="PivotTable4" cacheId="22" applyNumberFormats="0" applyBorderFormats="0" applyFontFormats="0" applyPatternFormats="0" applyAlignmentFormats="0" applyWidthHeightFormats="1" dataCaption="Values" tag="21e26449-7670-4f5f-b0bd-878b354825d8" updatedVersion="6"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4">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F7974A-9B7D-4794-9166-C89A1CDC2EA2}" name="PivotTable9" cacheId="40" applyNumberFormats="0" applyBorderFormats="0" applyFontFormats="0" applyPatternFormats="0" applyAlignmentFormats="0" applyWidthHeightFormats="1" dataCaption="Values" tag="5872e295-9aec-48cd-8601-bcdd6f023193" updatedVersion="6" minRefreshableVersion="3" subtotalHiddenItems="1" itemPrintTitles="1" createdVersion="5" indent="0" outline="1" outlineData="1" multipleFieldFilters="0" chartFormat="18">
  <location ref="E51:F5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5">
      <pivotArea outline="0" collapsedLevelsAreSubtotals="1" fieldPosition="0"/>
    </format>
  </formats>
  <chartFormats count="6">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1" count="1" selected="0">
            <x v="0"/>
          </reference>
        </references>
      </pivotArea>
    </chartFormat>
    <chartFormat chart="14" format="3">
      <pivotArea type="data" outline="0" fieldPosition="0">
        <references count="2">
          <reference field="4294967294" count="1" selected="0">
            <x v="0"/>
          </reference>
          <reference field="1"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C69C9B-D07C-4D67-B357-334A98A381F7}" name="PivotTable1" cacheId="16" applyNumberFormats="0" applyBorderFormats="0" applyFontFormats="0" applyPatternFormats="0" applyAlignmentFormats="0" applyWidthHeightFormats="1" dataCaption="Values" tag="1156ddcf-6099-41b7-9ad0-ce31f38258bc" updatedVersion="6" minRefreshableVersion="3" itemPrintTitles="1" createdVersion="5" indent="0" outline="1" outlineData="1" multipleFieldFilters="0" chartFormat="22">
  <location ref="D4:E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6" format="3"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A65C90-8CE4-4B15-A750-D3E867474B76}" name="PivotTable10" cacheId="43" applyNumberFormats="0" applyBorderFormats="0" applyFontFormats="0" applyPatternFormats="0" applyAlignmentFormats="0" applyWidthHeightFormats="1" dataCaption="Values" tag="ee4e9bbb-fa70-4d21-a5ec-2189eb9cf72e" updatedVersion="6" minRefreshableVersion="3" subtotalHiddenItems="1" itemPrintTitles="1" createdVersion="5" indent="0" outline="1" outlineData="1" multipleFieldFilters="0" chartFormat="21">
  <location ref="E58:F6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16">
      <pivotArea outline="0" collapsedLevelsAreSubtotals="1" fieldPosition="0"/>
    </format>
  </format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2" count="1" selected="0">
            <x v="0"/>
          </reference>
        </references>
      </pivotArea>
    </chartFormat>
    <chartFormat chart="20"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979C37-F5F0-4858-A8E1-8E8B44B8797E}" name="PivotTable7" cacheId="34" applyNumberFormats="0" applyBorderFormats="0" applyFontFormats="0" applyPatternFormats="0" applyAlignmentFormats="0" applyWidthHeightFormats="1" dataCaption="Values" tag="c7f22f53-37bd-492c-a4b4-71012e3e0ca0" updatedVersion="6" minRefreshableVersion="3" subtotalHiddenItems="1" itemPrintTitles="1" createdVersion="5" indent="0" outline="1" outlineData="1" multipleFieldFilters="0" chartFormat="6">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8">
      <pivotArea outline="0" collapsedLevelsAreSubtotals="1" fieldPosition="0"/>
    </format>
    <format dxfId="17">
      <pivotArea outline="0" fieldPosition="0">
        <references count="1">
          <reference field="4294967294" count="1">
            <x v="1"/>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0"/>
          </reference>
          <reference field="2" count="1" selected="0">
            <x v="0"/>
          </reference>
        </references>
      </pivotArea>
    </chartFormat>
    <chartFormat chart="5"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D6986E-FD2C-4A21-ACED-ADAFB2BC11A3}" name="PivotTable8" cacheId="37" applyNumberFormats="0" applyBorderFormats="0" applyFontFormats="0" applyPatternFormats="0" applyAlignmentFormats="0" applyWidthHeightFormats="1" dataCaption="Values" tag="d0f25a41-d9d3-4ead-bf66-da89f569860b" updatedVersion="6" minRefreshableVersion="3" subtotalHiddenItems="1" itemPrintTitles="1" createdVersion="5" indent="0" outline="1" outlineData="1" multipleFieldFilters="0" chartFormat="9">
  <location ref="A51:B6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1">
    <format dxfId="19">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2875B3-4167-4A20-82D0-C0F5FFEA4C52}" name="PivotTable2" cacheId="28" applyNumberFormats="0" applyBorderFormats="0" applyFontFormats="0" applyPatternFormats="0" applyAlignmentFormats="0" applyWidthHeightFormats="1" dataCaption="Values" tag="c389f39c-7f20-43d6-b03d-9a54ffda0275" updatedVersion="6" minRefreshableVersion="3" itemPrintTitles="1" createdVersion="5" indent="0" outline="1" outlineData="1" multipleFieldFilters="0" chartFormat="29">
  <location ref="G4:H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1"/>
  </dataFields>
  <formats count="1">
    <format dxfId="20">
      <pivotArea outline="0" collapsedLevelsAreSubtotals="1" fieldPosition="0"/>
    </format>
  </formats>
  <chartFormats count="3">
    <chartFormat chart="24"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AF6FFB-2F0B-44D8-8503-7C3697671AED}" name="PivotTable11" cacheId="46" applyNumberFormats="0" applyBorderFormats="0" applyFontFormats="0" applyPatternFormats="0" applyAlignmentFormats="0" applyWidthHeightFormats="1" dataCaption="Values" tag="1f83b7d3-32c0-4efd-a38c-687c989e2634" updatedVersion="6" minRefreshableVersion="3" subtotalHiddenItems="1" itemPrintTitles="1" createdVersion="5" indent="0" outline="1" outlineData="1" multipleFieldFilters="0" chartFormat="24">
  <location ref="A64:B7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formats count="1">
    <format dxfId="21">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9E441E-8071-4235-8EB2-EDB340DD631C}" name="PivotTable3" cacheId="19" applyNumberFormats="0" applyBorderFormats="0" applyFontFormats="0" applyPatternFormats="0" applyAlignmentFormats="0" applyWidthHeightFormats="1" dataCaption="Values" tag="7d9bdd73-839c-4edc-ba66-f55c54357118" updatedVersion="6"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84091A8-FF81-4E2E-9406-FA3FF8CDF3C2}" name="PivotTable13" cacheId="52" applyNumberFormats="0" applyBorderFormats="0" applyFontFormats="0" applyPatternFormats="0" applyAlignmentFormats="0" applyWidthHeightFormats="1" dataCaption="Values" tag="459e8227-fd8c-4bf3-933b-045cc0a9df7f" updatedVersion="6" minRefreshableVersion="3" subtotalHiddenItems="1" itemPrintTitles="1" createdVersion="5" indent="0" outline="1" outlineData="1" multipleFieldFilters="0" chartFormat="24">
  <location ref="E72:F100"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s>
  <rowFields count="1">
    <field x="3"/>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Patient Satisfaction Score" fld="2" baseField="0" baseItem="0"/>
  </dataFields>
  <formats count="1">
    <format dxfId="22">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1875D13-FD38-4E35-8103-E17DFC1A1A3F}" name="PivotTable5" cacheId="25" applyNumberFormats="0" applyBorderFormats="0" applyFontFormats="0" applyPatternFormats="0" applyAlignmentFormats="0" applyWidthHeightFormats="1" dataCaption="Values" tag="492aa8e1-1024-44a3-8756-27b18dc6f5ee" updatedVersion="6"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3">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438B4FB-9069-4C2E-AD82-9BDD8473AC9E}" sourceName="[Calendar_Table].[Date (Month)]">
  <pivotTables>
    <pivotTable tabId="1" name="PivotTable1"/>
    <pivotTable tabId="1" name="PivotTable3"/>
    <pivotTable tabId="1" name="PivotTable4"/>
    <pivotTable tabId="1" name="PivotTable5"/>
    <pivotTable tabId="1" name="PivotTable2"/>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s>
  <data>
    <olap pivotCacheId="2038486197">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nd="1"/>
              <i n="[Calendar_Table].[Date (Month)].&amp;[Dec]" c="Dec" nd="1"/>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BD827E2-353F-4A16-A571-173CB1CA8DB2}"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3"/>
  </pivotTables>
  <data>
    <olap pivotCacheId="2038486197">
      <levels count="2">
        <level uniqueName="[Calendar_Table].[Date (Year)].[(All)]" sourceCaption="(All)" count="0"/>
        <level uniqueName="[Calendar_Table].[Date (Year)].[Date (Year)]" sourceCaption="Date (Year)" count="2" sortOrder="ascending">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7D6634B-F8D0-46A3-85A5-A2CEC65A5F61}" cache="Slicer_Date__Month" caption="Date (Month)" showCaption="0" level="1" style="my style" rowHeight="216000"/>
  <slicer name="Date (Year)" xr10:uid="{6B33B3ED-4041-4B77-B290-2C9D5B9C4429}" cache="Slicer_Date__Year" caption="Date (Year)" columnCount="2" showCaption="0" level="1" style="my 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73BFE-3CB2-47FB-BDED-DBF9794B18BA}">
  <dimension ref="A2:K100"/>
  <sheetViews>
    <sheetView zoomScale="98" workbookViewId="0">
      <selection activeCell="E50" sqref="E50"/>
    </sheetView>
  </sheetViews>
  <sheetFormatPr defaultRowHeight="15" x14ac:dyDescent="0.25"/>
  <cols>
    <col min="1" max="1" width="17.140625" customWidth="1"/>
    <col min="2" max="2" width="15.140625" customWidth="1"/>
    <col min="4" max="4" width="13.85546875" customWidth="1"/>
    <col min="5" max="5" width="24.5703125" customWidth="1"/>
    <col min="7" max="7" width="20.140625" customWidth="1"/>
    <col min="8" max="8" width="26" customWidth="1"/>
    <col min="10" max="11" width="23.5703125" customWidth="1"/>
  </cols>
  <sheetData>
    <row r="2" spans="1:11" x14ac:dyDescent="0.25">
      <c r="H2" t="s">
        <v>42</v>
      </c>
    </row>
    <row r="3" spans="1:11" x14ac:dyDescent="0.25">
      <c r="D3" t="s">
        <v>6</v>
      </c>
      <c r="G3" t="s">
        <v>7</v>
      </c>
      <c r="J3" t="s">
        <v>8</v>
      </c>
    </row>
    <row r="4" spans="1:11" ht="26.25" customHeight="1" x14ac:dyDescent="0.25">
      <c r="A4" t="s">
        <v>0</v>
      </c>
      <c r="B4" s="16" t="s">
        <v>43</v>
      </c>
      <c r="D4" s="3" t="s">
        <v>3</v>
      </c>
      <c r="E4" t="s">
        <v>0</v>
      </c>
      <c r="G4" s="3" t="s">
        <v>3</v>
      </c>
      <c r="H4" t="s">
        <v>1</v>
      </c>
      <c r="J4" s="3" t="s">
        <v>3</v>
      </c>
      <c r="K4" t="s">
        <v>2</v>
      </c>
    </row>
    <row r="5" spans="1:11" x14ac:dyDescent="0.25">
      <c r="A5" s="1">
        <v>469</v>
      </c>
      <c r="D5" s="4" t="s">
        <v>49</v>
      </c>
      <c r="E5" s="1">
        <v>12</v>
      </c>
      <c r="G5" s="4" t="s">
        <v>49</v>
      </c>
      <c r="H5" s="6">
        <v>31.833333333333332</v>
      </c>
      <c r="J5" s="4" t="s">
        <v>50</v>
      </c>
      <c r="K5" s="6">
        <v>4.5999999999999996</v>
      </c>
    </row>
    <row r="6" spans="1:11" x14ac:dyDescent="0.25">
      <c r="D6" s="4" t="s">
        <v>50</v>
      </c>
      <c r="E6" s="1">
        <v>19</v>
      </c>
      <c r="G6" s="4" t="s">
        <v>50</v>
      </c>
      <c r="H6" s="6">
        <v>39.368421052631582</v>
      </c>
      <c r="J6" s="4" t="s">
        <v>51</v>
      </c>
      <c r="K6" s="6">
        <v>4.5999999999999996</v>
      </c>
    </row>
    <row r="7" spans="1:11" x14ac:dyDescent="0.25">
      <c r="D7" s="4" t="s">
        <v>51</v>
      </c>
      <c r="E7" s="1">
        <v>17</v>
      </c>
      <c r="G7" s="4" t="s">
        <v>51</v>
      </c>
      <c r="H7" s="6">
        <v>32.352941176470587</v>
      </c>
      <c r="J7" s="4" t="s">
        <v>52</v>
      </c>
      <c r="K7" s="6">
        <v>5.666666666666667</v>
      </c>
    </row>
    <row r="8" spans="1:11" x14ac:dyDescent="0.25">
      <c r="A8" t="s">
        <v>1</v>
      </c>
      <c r="B8" s="16"/>
      <c r="D8" s="4" t="s">
        <v>52</v>
      </c>
      <c r="E8" s="1">
        <v>20</v>
      </c>
      <c r="G8" s="4" t="s">
        <v>52</v>
      </c>
      <c r="H8" s="6">
        <v>34.049999999999997</v>
      </c>
      <c r="J8" s="4" t="s">
        <v>53</v>
      </c>
      <c r="K8" s="6">
        <v>3.4</v>
      </c>
    </row>
    <row r="9" spans="1:11" x14ac:dyDescent="0.25">
      <c r="A9" s="2">
        <v>35.044776119402982</v>
      </c>
      <c r="D9" s="4" t="s">
        <v>53</v>
      </c>
      <c r="E9" s="1">
        <v>15</v>
      </c>
      <c r="G9" s="4" t="s">
        <v>53</v>
      </c>
      <c r="H9" s="6">
        <v>31.8</v>
      </c>
      <c r="J9" s="4" t="s">
        <v>54</v>
      </c>
      <c r="K9" s="6">
        <v>4.333333333333333</v>
      </c>
    </row>
    <row r="10" spans="1:11" x14ac:dyDescent="0.25">
      <c r="D10" s="4" t="s">
        <v>54</v>
      </c>
      <c r="E10" s="1">
        <v>17</v>
      </c>
      <c r="G10" s="4" t="s">
        <v>54</v>
      </c>
      <c r="H10" s="6">
        <v>37.823529411764703</v>
      </c>
      <c r="J10" s="4" t="s">
        <v>55</v>
      </c>
      <c r="K10" s="6">
        <v>4.4000000000000004</v>
      </c>
    </row>
    <row r="11" spans="1:11" x14ac:dyDescent="0.25">
      <c r="D11" s="4" t="s">
        <v>55</v>
      </c>
      <c r="E11" s="1">
        <v>16</v>
      </c>
      <c r="G11" s="4" t="s">
        <v>55</v>
      </c>
      <c r="H11" s="6">
        <v>31.875</v>
      </c>
      <c r="J11" s="4" t="s">
        <v>56</v>
      </c>
      <c r="K11" s="6">
        <v>4.25</v>
      </c>
    </row>
    <row r="12" spans="1:11" x14ac:dyDescent="0.25">
      <c r="A12" t="s">
        <v>2</v>
      </c>
      <c r="B12" s="16"/>
      <c r="D12" s="4" t="s">
        <v>56</v>
      </c>
      <c r="E12" s="1">
        <v>10</v>
      </c>
      <c r="G12" s="4" t="s">
        <v>56</v>
      </c>
      <c r="H12" s="6">
        <v>27.3</v>
      </c>
      <c r="J12" s="4" t="s">
        <v>57</v>
      </c>
      <c r="K12" s="6">
        <v>4.5999999999999996</v>
      </c>
    </row>
    <row r="13" spans="1:11" x14ac:dyDescent="0.25">
      <c r="A13" s="2">
        <v>4.6269841269841274</v>
      </c>
      <c r="D13" s="4" t="s">
        <v>57</v>
      </c>
      <c r="E13" s="1">
        <v>15</v>
      </c>
      <c r="G13" s="4" t="s">
        <v>57</v>
      </c>
      <c r="H13" s="6">
        <v>31.933333333333334</v>
      </c>
      <c r="J13" s="4" t="s">
        <v>59</v>
      </c>
      <c r="K13" s="6">
        <v>2.3333333333333335</v>
      </c>
    </row>
    <row r="14" spans="1:11" x14ac:dyDescent="0.25">
      <c r="D14" s="4" t="s">
        <v>58</v>
      </c>
      <c r="E14" s="1">
        <v>14</v>
      </c>
      <c r="G14" s="4" t="s">
        <v>58</v>
      </c>
      <c r="H14" s="6">
        <v>30.5</v>
      </c>
      <c r="J14" s="4" t="s">
        <v>60</v>
      </c>
      <c r="K14" s="6">
        <v>9</v>
      </c>
    </row>
    <row r="15" spans="1:11" x14ac:dyDescent="0.25">
      <c r="D15" s="4" t="s">
        <v>59</v>
      </c>
      <c r="E15" s="1">
        <v>16</v>
      </c>
      <c r="G15" s="4" t="s">
        <v>59</v>
      </c>
      <c r="H15" s="6">
        <v>38.0625</v>
      </c>
      <c r="J15" s="4" t="s">
        <v>61</v>
      </c>
      <c r="K15" s="6">
        <v>2.75</v>
      </c>
    </row>
    <row r="16" spans="1:11" x14ac:dyDescent="0.25">
      <c r="D16" s="4" t="s">
        <v>60</v>
      </c>
      <c r="E16" s="1">
        <v>12</v>
      </c>
      <c r="G16" s="4" t="s">
        <v>60</v>
      </c>
      <c r="H16" s="6">
        <v>36.333333333333336</v>
      </c>
      <c r="J16" s="4" t="s">
        <v>62</v>
      </c>
      <c r="K16" s="6">
        <v>6.8888888888888893</v>
      </c>
    </row>
    <row r="17" spans="4:11" x14ac:dyDescent="0.25">
      <c r="D17" s="4" t="s">
        <v>61</v>
      </c>
      <c r="E17" s="1">
        <v>12</v>
      </c>
      <c r="G17" s="4" t="s">
        <v>61</v>
      </c>
      <c r="H17" s="6">
        <v>27</v>
      </c>
      <c r="J17" s="4" t="s">
        <v>63</v>
      </c>
      <c r="K17" s="6">
        <v>5</v>
      </c>
    </row>
    <row r="18" spans="4:11" x14ac:dyDescent="0.25">
      <c r="D18" s="4" t="s">
        <v>62</v>
      </c>
      <c r="E18" s="1">
        <v>13</v>
      </c>
      <c r="G18" s="4" t="s">
        <v>62</v>
      </c>
      <c r="H18" s="6">
        <v>37.46153846153846</v>
      </c>
      <c r="J18" s="4" t="s">
        <v>64</v>
      </c>
      <c r="K18" s="6">
        <v>4.166666666666667</v>
      </c>
    </row>
    <row r="19" spans="4:11" x14ac:dyDescent="0.25">
      <c r="D19" s="4" t="s">
        <v>63</v>
      </c>
      <c r="E19" s="1">
        <v>20</v>
      </c>
      <c r="G19" s="4" t="s">
        <v>63</v>
      </c>
      <c r="H19" s="6">
        <v>39.25</v>
      </c>
      <c r="J19" s="4" t="s">
        <v>65</v>
      </c>
      <c r="K19" s="6">
        <v>2.5</v>
      </c>
    </row>
    <row r="20" spans="4:11" x14ac:dyDescent="0.25">
      <c r="D20" s="4" t="s">
        <v>64</v>
      </c>
      <c r="E20" s="1">
        <v>17</v>
      </c>
      <c r="G20" s="4" t="s">
        <v>64</v>
      </c>
      <c r="H20" s="6">
        <v>33.647058823529413</v>
      </c>
      <c r="J20" s="4" t="s">
        <v>66</v>
      </c>
      <c r="K20" s="6">
        <v>6</v>
      </c>
    </row>
    <row r="21" spans="4:11" x14ac:dyDescent="0.25">
      <c r="D21" s="4" t="s">
        <v>65</v>
      </c>
      <c r="E21" s="1">
        <v>10</v>
      </c>
      <c r="G21" s="4" t="s">
        <v>65</v>
      </c>
      <c r="H21" s="6">
        <v>42.2</v>
      </c>
      <c r="J21" s="4" t="s">
        <v>67</v>
      </c>
      <c r="K21" s="6">
        <v>3.8</v>
      </c>
    </row>
    <row r="22" spans="4:11" x14ac:dyDescent="0.25">
      <c r="D22" s="4" t="s">
        <v>66</v>
      </c>
      <c r="E22" s="1">
        <v>16</v>
      </c>
      <c r="G22" s="4" t="s">
        <v>66</v>
      </c>
      <c r="H22" s="6">
        <v>33.3125</v>
      </c>
      <c r="J22" s="4" t="s">
        <v>68</v>
      </c>
      <c r="K22" s="6">
        <v>3.6</v>
      </c>
    </row>
    <row r="23" spans="4:11" x14ac:dyDescent="0.25">
      <c r="D23" s="4" t="s">
        <v>67</v>
      </c>
      <c r="E23" s="1">
        <v>13</v>
      </c>
      <c r="G23" s="4" t="s">
        <v>67</v>
      </c>
      <c r="H23" s="6">
        <v>25.76923076923077</v>
      </c>
      <c r="J23" s="4" t="s">
        <v>70</v>
      </c>
      <c r="K23" s="6">
        <v>5.8571428571428568</v>
      </c>
    </row>
    <row r="24" spans="4:11" x14ac:dyDescent="0.25">
      <c r="D24" s="4" t="s">
        <v>68</v>
      </c>
      <c r="E24" s="1">
        <v>16</v>
      </c>
      <c r="G24" s="4" t="s">
        <v>68</v>
      </c>
      <c r="H24" s="6">
        <v>37.125</v>
      </c>
      <c r="J24" s="4" t="s">
        <v>71</v>
      </c>
      <c r="K24" s="6">
        <v>6.25</v>
      </c>
    </row>
    <row r="25" spans="4:11" x14ac:dyDescent="0.25">
      <c r="D25" s="4" t="s">
        <v>69</v>
      </c>
      <c r="E25" s="1">
        <v>18</v>
      </c>
      <c r="G25" s="4" t="s">
        <v>69</v>
      </c>
      <c r="H25" s="6">
        <v>37</v>
      </c>
      <c r="J25" s="4" t="s">
        <v>72</v>
      </c>
      <c r="K25" s="6">
        <v>4.666666666666667</v>
      </c>
    </row>
    <row r="26" spans="4:11" x14ac:dyDescent="0.25">
      <c r="D26" s="4" t="s">
        <v>70</v>
      </c>
      <c r="E26" s="1">
        <v>21</v>
      </c>
      <c r="G26" s="4" t="s">
        <v>70</v>
      </c>
      <c r="H26" s="6">
        <v>36.80952380952381</v>
      </c>
      <c r="J26" s="4" t="s">
        <v>73</v>
      </c>
      <c r="K26" s="6">
        <v>0</v>
      </c>
    </row>
    <row r="27" spans="4:11" x14ac:dyDescent="0.25">
      <c r="D27" s="4" t="s">
        <v>71</v>
      </c>
      <c r="E27" s="1">
        <v>15</v>
      </c>
      <c r="G27" s="4" t="s">
        <v>71</v>
      </c>
      <c r="H27" s="6">
        <v>39.799999999999997</v>
      </c>
      <c r="J27" s="4" t="s">
        <v>74</v>
      </c>
      <c r="K27" s="6">
        <v>4.666666666666667</v>
      </c>
    </row>
    <row r="28" spans="4:11" x14ac:dyDescent="0.25">
      <c r="D28" s="4" t="s">
        <v>72</v>
      </c>
      <c r="E28" s="1">
        <v>18</v>
      </c>
      <c r="G28" s="4" t="s">
        <v>72</v>
      </c>
      <c r="H28" s="6">
        <v>38</v>
      </c>
      <c r="J28" s="4" t="s">
        <v>75</v>
      </c>
      <c r="K28" s="6">
        <v>2.8</v>
      </c>
    </row>
    <row r="29" spans="4:11" x14ac:dyDescent="0.25">
      <c r="D29" s="4" t="s">
        <v>73</v>
      </c>
      <c r="E29" s="1">
        <v>15</v>
      </c>
      <c r="G29" s="4" t="s">
        <v>73</v>
      </c>
      <c r="H29" s="6">
        <v>36.133333333333333</v>
      </c>
      <c r="J29" s="4" t="s">
        <v>76</v>
      </c>
      <c r="K29" s="6">
        <v>4.2</v>
      </c>
    </row>
    <row r="30" spans="4:11" x14ac:dyDescent="0.25">
      <c r="D30" s="4" t="s">
        <v>74</v>
      </c>
      <c r="E30" s="1">
        <v>18</v>
      </c>
      <c r="G30" s="4" t="s">
        <v>74</v>
      </c>
      <c r="H30" s="6">
        <v>36.555555555555557</v>
      </c>
      <c r="J30" s="4" t="s">
        <v>77</v>
      </c>
      <c r="K30" s="6">
        <v>2.5</v>
      </c>
    </row>
    <row r="31" spans="4:11" x14ac:dyDescent="0.25">
      <c r="D31" s="4" t="s">
        <v>75</v>
      </c>
      <c r="E31" s="1">
        <v>19</v>
      </c>
      <c r="G31" s="4" t="s">
        <v>75</v>
      </c>
      <c r="H31" s="6">
        <v>39.210526315789473</v>
      </c>
      <c r="J31" s="4" t="s">
        <v>78</v>
      </c>
      <c r="K31" s="6">
        <v>5</v>
      </c>
    </row>
    <row r="32" spans="4:11" x14ac:dyDescent="0.25">
      <c r="D32" s="4" t="s">
        <v>76</v>
      </c>
      <c r="E32" s="1">
        <v>16</v>
      </c>
      <c r="G32" s="4" t="s">
        <v>76</v>
      </c>
      <c r="H32" s="6">
        <v>31.1875</v>
      </c>
      <c r="J32" s="4" t="s">
        <v>4</v>
      </c>
      <c r="K32" s="6">
        <v>4.6269841269841274</v>
      </c>
    </row>
    <row r="33" spans="1:8" x14ac:dyDescent="0.25">
      <c r="D33" s="4" t="s">
        <v>77</v>
      </c>
      <c r="E33" s="1">
        <v>13</v>
      </c>
      <c r="G33" s="4" t="s">
        <v>77</v>
      </c>
      <c r="H33" s="6">
        <v>35.153846153846153</v>
      </c>
    </row>
    <row r="34" spans="1:8" x14ac:dyDescent="0.25">
      <c r="D34" s="4" t="s">
        <v>78</v>
      </c>
      <c r="E34" s="1">
        <v>16</v>
      </c>
      <c r="G34" s="4" t="s">
        <v>78</v>
      </c>
      <c r="H34" s="6">
        <v>34.25</v>
      </c>
    </row>
    <row r="35" spans="1:8" x14ac:dyDescent="0.25">
      <c r="D35" s="4" t="s">
        <v>4</v>
      </c>
      <c r="E35" s="1">
        <v>469</v>
      </c>
      <c r="G35" s="4" t="s">
        <v>4</v>
      </c>
      <c r="H35" s="6">
        <v>35.044776119402982</v>
      </c>
    </row>
    <row r="38" spans="1:8" x14ac:dyDescent="0.25">
      <c r="A38" t="s">
        <v>44</v>
      </c>
    </row>
    <row r="39" spans="1:8" x14ac:dyDescent="0.25">
      <c r="A39" s="3" t="s">
        <v>3</v>
      </c>
      <c r="B39" t="s">
        <v>9</v>
      </c>
      <c r="C39" t="s">
        <v>12</v>
      </c>
      <c r="D39" s="16"/>
      <c r="E39" s="16"/>
    </row>
    <row r="40" spans="1:8" x14ac:dyDescent="0.25">
      <c r="A40" s="4" t="s">
        <v>10</v>
      </c>
      <c r="B40" s="6">
        <v>217</v>
      </c>
      <c r="C40" s="7">
        <v>0.46268656716417911</v>
      </c>
    </row>
    <row r="41" spans="1:8" x14ac:dyDescent="0.25">
      <c r="A41" s="4" t="s">
        <v>11</v>
      </c>
      <c r="B41" s="6">
        <v>252</v>
      </c>
      <c r="C41" s="7">
        <v>0.53731343283582089</v>
      </c>
    </row>
    <row r="42" spans="1:8" x14ac:dyDescent="0.25">
      <c r="A42" s="4" t="s">
        <v>4</v>
      </c>
      <c r="B42" s="6">
        <v>469</v>
      </c>
      <c r="C42" s="7">
        <v>1</v>
      </c>
    </row>
    <row r="45" spans="1:8" x14ac:dyDescent="0.25">
      <c r="A45" s="10" t="s">
        <v>13</v>
      </c>
      <c r="B45" s="10" t="s">
        <v>14</v>
      </c>
      <c r="C45" s="10" t="s">
        <v>15</v>
      </c>
      <c r="D45" s="11"/>
      <c r="E45" s="9"/>
    </row>
    <row r="46" spans="1:8" x14ac:dyDescent="0.25">
      <c r="A46" s="12" t="str">
        <f>A41</f>
        <v>Not Admitted</v>
      </c>
      <c r="B46" s="14">
        <f t="shared" ref="B46:C46" si="0">B41</f>
        <v>252</v>
      </c>
      <c r="C46" s="17">
        <f t="shared" si="0"/>
        <v>0.53731343283582089</v>
      </c>
      <c r="D46" s="13"/>
      <c r="E46" s="9"/>
    </row>
    <row r="47" spans="1:8" x14ac:dyDescent="0.25">
      <c r="A47" s="12" t="str">
        <f>A40</f>
        <v>Admitted</v>
      </c>
      <c r="B47" s="14">
        <f t="shared" ref="B47:C47" si="1">B40</f>
        <v>217</v>
      </c>
      <c r="C47" s="17">
        <f t="shared" si="1"/>
        <v>0.46268656716417911</v>
      </c>
      <c r="D47" s="13"/>
      <c r="E47" s="9"/>
    </row>
    <row r="50" spans="1:7" x14ac:dyDescent="0.25">
      <c r="A50" t="s">
        <v>45</v>
      </c>
    </row>
    <row r="51" spans="1:7" x14ac:dyDescent="0.25">
      <c r="A51" s="3" t="s">
        <v>3</v>
      </c>
      <c r="B51" t="s">
        <v>16</v>
      </c>
      <c r="C51" s="16"/>
      <c r="E51" s="3" t="s">
        <v>3</v>
      </c>
      <c r="F51" t="s">
        <v>37</v>
      </c>
      <c r="G51" s="16"/>
    </row>
    <row r="52" spans="1:7" x14ac:dyDescent="0.25">
      <c r="A52" s="4" t="s">
        <v>17</v>
      </c>
      <c r="B52" s="6">
        <v>59</v>
      </c>
      <c r="E52" s="4" t="s">
        <v>28</v>
      </c>
      <c r="F52" s="6">
        <v>268</v>
      </c>
    </row>
    <row r="53" spans="1:7" x14ac:dyDescent="0.25">
      <c r="A53" s="4" t="s">
        <v>18</v>
      </c>
      <c r="B53" s="6">
        <v>57</v>
      </c>
      <c r="E53" s="4" t="s">
        <v>27</v>
      </c>
      <c r="F53" s="6">
        <v>201</v>
      </c>
    </row>
    <row r="54" spans="1:7" x14ac:dyDescent="0.25">
      <c r="A54" s="4" t="s">
        <v>19</v>
      </c>
      <c r="B54" s="6">
        <v>69</v>
      </c>
      <c r="E54" s="4" t="s">
        <v>4</v>
      </c>
      <c r="F54" s="6">
        <v>469</v>
      </c>
    </row>
    <row r="55" spans="1:7" x14ac:dyDescent="0.25">
      <c r="A55" s="4" t="s">
        <v>20</v>
      </c>
      <c r="B55" s="6">
        <v>62</v>
      </c>
    </row>
    <row r="56" spans="1:7" x14ac:dyDescent="0.25">
      <c r="A56" s="4" t="s">
        <v>21</v>
      </c>
      <c r="B56" s="6">
        <v>54</v>
      </c>
    </row>
    <row r="57" spans="1:7" x14ac:dyDescent="0.25">
      <c r="A57" s="4" t="s">
        <v>22</v>
      </c>
      <c r="B57" s="6">
        <v>57</v>
      </c>
    </row>
    <row r="58" spans="1:7" x14ac:dyDescent="0.25">
      <c r="A58" s="4" t="s">
        <v>23</v>
      </c>
      <c r="B58" s="6">
        <v>54</v>
      </c>
      <c r="E58" s="3" t="s">
        <v>3</v>
      </c>
      <c r="F58" t="s">
        <v>38</v>
      </c>
      <c r="G58" s="16"/>
    </row>
    <row r="59" spans="1:7" x14ac:dyDescent="0.25">
      <c r="A59" s="4" t="s">
        <v>24</v>
      </c>
      <c r="B59" s="6">
        <v>57</v>
      </c>
      <c r="E59" s="4" t="s">
        <v>25</v>
      </c>
      <c r="F59" s="6">
        <v>241</v>
      </c>
    </row>
    <row r="60" spans="1:7" x14ac:dyDescent="0.25">
      <c r="A60" s="4" t="s">
        <v>4</v>
      </c>
      <c r="B60" s="6">
        <v>469</v>
      </c>
      <c r="E60" s="4" t="s">
        <v>29</v>
      </c>
      <c r="F60" s="6">
        <v>228</v>
      </c>
    </row>
    <row r="61" spans="1:7" x14ac:dyDescent="0.25">
      <c r="E61" s="4" t="s">
        <v>4</v>
      </c>
      <c r="F61" s="6">
        <v>469</v>
      </c>
    </row>
    <row r="63" spans="1:7" x14ac:dyDescent="0.25">
      <c r="A63" s="4" t="s">
        <v>46</v>
      </c>
    </row>
    <row r="64" spans="1:7" x14ac:dyDescent="0.25">
      <c r="A64" s="3" t="s">
        <v>3</v>
      </c>
      <c r="B64" t="s">
        <v>39</v>
      </c>
      <c r="C64" s="16"/>
      <c r="D64" s="16"/>
      <c r="E64" s="3"/>
      <c r="F64" s="3"/>
      <c r="G64" s="3"/>
    </row>
    <row r="65" spans="1:7" x14ac:dyDescent="0.25">
      <c r="A65" s="4" t="s">
        <v>33</v>
      </c>
      <c r="B65" s="6">
        <v>13</v>
      </c>
      <c r="E65" s="3" t="s">
        <v>3</v>
      </c>
    </row>
    <row r="66" spans="1:7" x14ac:dyDescent="0.25">
      <c r="A66" s="4" t="s">
        <v>35</v>
      </c>
      <c r="B66" s="6">
        <v>8</v>
      </c>
      <c r="E66" s="4" t="s">
        <v>40</v>
      </c>
    </row>
    <row r="67" spans="1:7" x14ac:dyDescent="0.25">
      <c r="A67" s="4" t="s">
        <v>30</v>
      </c>
      <c r="B67" s="6">
        <v>92</v>
      </c>
      <c r="E67" s="4" t="s">
        <v>4</v>
      </c>
    </row>
    <row r="68" spans="1:7" x14ac:dyDescent="0.25">
      <c r="A68" s="4" t="s">
        <v>34</v>
      </c>
      <c r="B68" s="6">
        <v>10</v>
      </c>
    </row>
    <row r="69" spans="1:7" x14ac:dyDescent="0.25">
      <c r="A69" s="4" t="s">
        <v>26</v>
      </c>
      <c r="B69" s="6">
        <v>284</v>
      </c>
    </row>
    <row r="70" spans="1:7" x14ac:dyDescent="0.25">
      <c r="A70" s="4" t="s">
        <v>31</v>
      </c>
      <c r="B70" s="6">
        <v>44</v>
      </c>
    </row>
    <row r="71" spans="1:7" x14ac:dyDescent="0.25">
      <c r="A71" s="4" t="s">
        <v>32</v>
      </c>
      <c r="B71" s="6">
        <v>15</v>
      </c>
    </row>
    <row r="72" spans="1:7" x14ac:dyDescent="0.25">
      <c r="A72" s="4" t="s">
        <v>36</v>
      </c>
      <c r="B72" s="6">
        <v>3</v>
      </c>
      <c r="E72" s="3" t="s">
        <v>3</v>
      </c>
      <c r="F72" t="s">
        <v>41</v>
      </c>
      <c r="G72" s="16"/>
    </row>
    <row r="73" spans="1:7" x14ac:dyDescent="0.25">
      <c r="A73" s="4" t="s">
        <v>4</v>
      </c>
      <c r="B73" s="6">
        <v>469</v>
      </c>
      <c r="E73" s="15">
        <v>45384</v>
      </c>
      <c r="F73" s="6">
        <v>23</v>
      </c>
    </row>
    <row r="74" spans="1:7" x14ac:dyDescent="0.25">
      <c r="E74" s="15">
        <v>45385</v>
      </c>
      <c r="F74" s="6">
        <v>23</v>
      </c>
    </row>
    <row r="75" spans="1:7" x14ac:dyDescent="0.25">
      <c r="E75" s="15">
        <v>45386</v>
      </c>
      <c r="F75" s="6">
        <v>34</v>
      </c>
    </row>
    <row r="76" spans="1:7" x14ac:dyDescent="0.25">
      <c r="E76" s="15">
        <v>45387</v>
      </c>
      <c r="F76" s="6">
        <v>17</v>
      </c>
    </row>
    <row r="77" spans="1:7" x14ac:dyDescent="0.25">
      <c r="E77" s="15">
        <v>45388</v>
      </c>
      <c r="F77" s="6">
        <v>26</v>
      </c>
    </row>
    <row r="78" spans="1:7" x14ac:dyDescent="0.25">
      <c r="E78" s="15">
        <v>45389</v>
      </c>
      <c r="F78" s="6">
        <v>22</v>
      </c>
    </row>
    <row r="79" spans="1:7" x14ac:dyDescent="0.25">
      <c r="E79" s="15">
        <v>45390</v>
      </c>
      <c r="F79" s="6">
        <v>17</v>
      </c>
    </row>
    <row r="80" spans="1:7" x14ac:dyDescent="0.25">
      <c r="E80" s="15">
        <v>45391</v>
      </c>
      <c r="F80" s="6">
        <v>23</v>
      </c>
    </row>
    <row r="81" spans="5:6" x14ac:dyDescent="0.25">
      <c r="E81" s="15">
        <v>45393</v>
      </c>
      <c r="F81" s="6">
        <v>7</v>
      </c>
    </row>
    <row r="82" spans="5:6" x14ac:dyDescent="0.25">
      <c r="E82" s="15">
        <v>45394</v>
      </c>
      <c r="F82" s="6">
        <v>27</v>
      </c>
    </row>
    <row r="83" spans="5:6" x14ac:dyDescent="0.25">
      <c r="E83" s="15">
        <v>45395</v>
      </c>
      <c r="F83" s="6">
        <v>11</v>
      </c>
    </row>
    <row r="84" spans="5:6" x14ac:dyDescent="0.25">
      <c r="E84" s="15">
        <v>45396</v>
      </c>
      <c r="F84" s="6">
        <v>62</v>
      </c>
    </row>
    <row r="85" spans="5:6" x14ac:dyDescent="0.25">
      <c r="E85" s="15">
        <v>45397</v>
      </c>
      <c r="F85" s="6">
        <v>20</v>
      </c>
    </row>
    <row r="86" spans="5:6" x14ac:dyDescent="0.25">
      <c r="E86" s="15">
        <v>45398</v>
      </c>
      <c r="F86" s="6">
        <v>25</v>
      </c>
    </row>
    <row r="87" spans="5:6" x14ac:dyDescent="0.25">
      <c r="E87" s="15">
        <v>45399</v>
      </c>
      <c r="F87" s="6">
        <v>10</v>
      </c>
    </row>
    <row r="88" spans="5:6" x14ac:dyDescent="0.25">
      <c r="E88" s="15">
        <v>45400</v>
      </c>
      <c r="F88" s="6">
        <v>36</v>
      </c>
    </row>
    <row r="89" spans="5:6" x14ac:dyDescent="0.25">
      <c r="E89" s="15">
        <v>45401</v>
      </c>
      <c r="F89" s="6">
        <v>19</v>
      </c>
    </row>
    <row r="90" spans="5:6" x14ac:dyDescent="0.25">
      <c r="E90" s="15">
        <v>45402</v>
      </c>
      <c r="F90" s="6">
        <v>18</v>
      </c>
    </row>
    <row r="91" spans="5:6" x14ac:dyDescent="0.25">
      <c r="E91" s="15">
        <v>45404</v>
      </c>
      <c r="F91" s="6">
        <v>41</v>
      </c>
    </row>
    <row r="92" spans="5:6" x14ac:dyDescent="0.25">
      <c r="E92" s="15">
        <v>45405</v>
      </c>
      <c r="F92" s="6">
        <v>25</v>
      </c>
    </row>
    <row r="93" spans="5:6" x14ac:dyDescent="0.25">
      <c r="E93" s="15">
        <v>45406</v>
      </c>
      <c r="F93" s="6">
        <v>28</v>
      </c>
    </row>
    <row r="94" spans="5:6" x14ac:dyDescent="0.25">
      <c r="E94" s="15">
        <v>45407</v>
      </c>
      <c r="F94" s="6">
        <v>0</v>
      </c>
    </row>
    <row r="95" spans="5:6" x14ac:dyDescent="0.25">
      <c r="E95" s="15">
        <v>45408</v>
      </c>
      <c r="F95" s="6">
        <v>14</v>
      </c>
    </row>
    <row r="96" spans="5:6" x14ac:dyDescent="0.25">
      <c r="E96" s="15">
        <v>45409</v>
      </c>
      <c r="F96" s="6">
        <v>14</v>
      </c>
    </row>
    <row r="97" spans="5:6" x14ac:dyDescent="0.25">
      <c r="E97" s="15">
        <v>45410</v>
      </c>
      <c r="F97" s="6">
        <v>21</v>
      </c>
    </row>
    <row r="98" spans="5:6" x14ac:dyDescent="0.25">
      <c r="E98" s="15">
        <v>45411</v>
      </c>
      <c r="F98" s="6">
        <v>5</v>
      </c>
    </row>
    <row r="99" spans="5:6" x14ac:dyDescent="0.25">
      <c r="E99" s="15">
        <v>45412</v>
      </c>
      <c r="F99" s="6">
        <v>15</v>
      </c>
    </row>
    <row r="100" spans="5:6" x14ac:dyDescent="0.25">
      <c r="E100" s="4" t="s">
        <v>4</v>
      </c>
      <c r="F100" s="6">
        <v>583</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11D3A-D23E-4585-A2E8-A1315E9B1AE9}">
  <dimension ref="A1:AL36"/>
  <sheetViews>
    <sheetView workbookViewId="0">
      <selection activeCell="Q10" sqref="Q10"/>
    </sheetView>
  </sheetViews>
  <sheetFormatPr defaultRowHeight="15" x14ac:dyDescent="0.25"/>
  <sheetData>
    <row r="1" spans="1:38" x14ac:dyDescent="0.25">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row>
    <row r="2" spans="1:38" x14ac:dyDescent="0.25">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row>
    <row r="3" spans="1:38" x14ac:dyDescent="0.25">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row>
    <row r="4" spans="1:38" x14ac:dyDescent="0.2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row>
    <row r="5" spans="1:38"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row>
    <row r="6" spans="1:38" x14ac:dyDescent="0.2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row>
    <row r="7" spans="1:38" x14ac:dyDescent="0.25">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row>
    <row r="8" spans="1:38" x14ac:dyDescent="0.25">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row>
    <row r="9" spans="1:38" x14ac:dyDescent="0.25">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row>
    <row r="10" spans="1:38" x14ac:dyDescent="0.2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row>
    <row r="11" spans="1:38"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spans="1:38"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row>
    <row r="13" spans="1:38"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row>
    <row r="14" spans="1:38"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row>
    <row r="15" spans="1:38"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row>
    <row r="16" spans="1:38"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row>
    <row r="17" spans="1:38"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row>
    <row r="18" spans="1:38"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row>
    <row r="19" spans="1:38"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row>
    <row r="20" spans="1:38"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row>
    <row r="21" spans="1:38"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row>
    <row r="22" spans="1:38" x14ac:dyDescent="0.25">
      <c r="A22" s="5"/>
      <c r="B22" s="5"/>
      <c r="C22" s="18"/>
      <c r="D22" s="18"/>
      <c r="E22" s="18"/>
      <c r="F22" s="18"/>
      <c r="G22" s="18"/>
      <c r="H22" s="18"/>
      <c r="I22" s="18"/>
      <c r="J22" s="18"/>
      <c r="K22" s="18"/>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row>
    <row r="23" spans="1:38" x14ac:dyDescent="0.25">
      <c r="A23" s="5"/>
      <c r="B23" s="5"/>
      <c r="C23" s="5"/>
      <c r="D23" s="18" t="s">
        <v>5</v>
      </c>
      <c r="E23" s="19"/>
      <c r="F23" s="19"/>
      <c r="G23" s="19"/>
      <c r="H23" s="19"/>
      <c r="I23" s="19"/>
      <c r="J23" s="19"/>
      <c r="K23" s="19"/>
      <c r="L23" s="19"/>
      <c r="M23" s="19"/>
      <c r="N23" s="19"/>
      <c r="O23" s="5"/>
      <c r="P23" s="5"/>
      <c r="Q23" s="5"/>
      <c r="R23" s="5"/>
      <c r="S23" s="5"/>
      <c r="T23" s="5"/>
      <c r="U23" s="5"/>
      <c r="V23" s="5"/>
      <c r="W23" s="5"/>
      <c r="X23" s="5"/>
      <c r="Y23" s="5"/>
      <c r="Z23" s="5"/>
      <c r="AA23" s="5"/>
      <c r="AB23" s="5"/>
      <c r="AC23" s="5"/>
      <c r="AD23" s="5"/>
      <c r="AE23" s="5"/>
      <c r="AF23" s="5"/>
      <c r="AG23" s="5"/>
      <c r="AH23" s="5"/>
      <c r="AI23" s="5"/>
      <c r="AJ23" s="5"/>
      <c r="AK23" s="5"/>
      <c r="AL23" s="5"/>
    </row>
    <row r="24" spans="1:38"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row>
    <row r="25" spans="1:38"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row>
    <row r="26" spans="1:38"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row>
    <row r="27" spans="1:38"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row>
    <row r="28" spans="1:38"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row>
    <row r="29" spans="1:38"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row>
    <row r="30" spans="1:38"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row>
    <row r="31" spans="1:38"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row>
    <row r="32" spans="1:38"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row>
    <row r="33" spans="1:38"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row>
    <row r="34" spans="1:38"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row>
    <row r="35" spans="1:38"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row>
    <row r="36" spans="1:38"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row>
  </sheetData>
  <mergeCells count="2">
    <mergeCell ref="C22:K22"/>
    <mergeCell ref="D23:N2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881F1-57F9-4B9D-9D94-BF218E6FB572}">
  <dimension ref="A1:AB44"/>
  <sheetViews>
    <sheetView tabSelected="1" zoomScale="98" workbookViewId="0">
      <selection activeCell="R11" sqref="R11"/>
    </sheetView>
  </sheetViews>
  <sheetFormatPr defaultRowHeight="15" x14ac:dyDescent="0.25"/>
  <cols>
    <col min="14" max="14" width="9.140625" customWidth="1"/>
  </cols>
  <sheetData>
    <row r="1" spans="1:28" x14ac:dyDescent="0.25">
      <c r="A1" s="8"/>
      <c r="B1" s="8"/>
      <c r="C1" s="8"/>
      <c r="D1" s="8"/>
      <c r="E1" s="8"/>
      <c r="F1" s="8"/>
      <c r="G1" s="8"/>
      <c r="H1" s="8"/>
      <c r="I1" s="8"/>
      <c r="J1" s="8"/>
      <c r="K1" s="8"/>
      <c r="L1" s="8"/>
      <c r="M1" s="8"/>
      <c r="N1" s="8"/>
      <c r="O1" s="8"/>
      <c r="P1" s="8"/>
      <c r="Q1" s="8"/>
      <c r="R1" s="8"/>
      <c r="S1" s="8"/>
      <c r="T1" s="8"/>
      <c r="U1" s="8"/>
      <c r="V1" s="8"/>
      <c r="W1" s="8"/>
      <c r="X1" s="8"/>
      <c r="Y1" s="8"/>
      <c r="Z1" s="8"/>
      <c r="AA1" s="8"/>
      <c r="AB1" s="8"/>
    </row>
    <row r="2" spans="1:28" x14ac:dyDescent="0.25">
      <c r="A2" s="8"/>
      <c r="B2" s="8"/>
      <c r="C2" s="8"/>
      <c r="D2" s="8"/>
      <c r="E2" s="8"/>
      <c r="F2" s="8"/>
      <c r="G2" s="8"/>
      <c r="H2" s="8"/>
      <c r="I2" s="8"/>
      <c r="J2" s="8"/>
      <c r="K2" s="8"/>
      <c r="L2" s="8"/>
      <c r="M2" s="8"/>
      <c r="N2" s="8"/>
      <c r="O2" s="8"/>
      <c r="P2" s="8"/>
      <c r="Q2" s="8"/>
      <c r="R2" s="8"/>
      <c r="S2" s="8"/>
      <c r="T2" s="8"/>
      <c r="U2" s="8"/>
      <c r="V2" s="8"/>
      <c r="W2" s="8"/>
      <c r="X2" s="8"/>
      <c r="Y2" s="8"/>
      <c r="Z2" s="8"/>
      <c r="AA2" s="8"/>
      <c r="AB2" s="8"/>
    </row>
    <row r="3" spans="1:28" x14ac:dyDescent="0.25">
      <c r="A3" s="8"/>
      <c r="B3" s="8"/>
      <c r="C3" s="8"/>
      <c r="D3" s="8"/>
      <c r="E3" s="8"/>
      <c r="F3" s="8"/>
      <c r="G3" s="8"/>
      <c r="H3" s="8"/>
      <c r="I3" s="8"/>
      <c r="J3" s="8"/>
      <c r="K3" s="8"/>
      <c r="L3" s="8"/>
      <c r="M3" s="8"/>
      <c r="N3" s="8"/>
      <c r="O3" s="8"/>
      <c r="P3" s="8"/>
      <c r="Q3" s="8"/>
      <c r="R3" s="8"/>
      <c r="S3" s="8"/>
      <c r="T3" s="8"/>
      <c r="U3" s="8"/>
      <c r="V3" s="8"/>
      <c r="W3" s="8"/>
      <c r="X3" s="8"/>
      <c r="Y3" s="8"/>
      <c r="Z3" s="8"/>
      <c r="AA3" s="8"/>
      <c r="AB3" s="8"/>
    </row>
    <row r="4" spans="1:28" x14ac:dyDescent="0.25">
      <c r="A4" s="8"/>
      <c r="B4" s="8"/>
      <c r="C4" s="8"/>
      <c r="D4" s="8"/>
      <c r="E4" s="8"/>
      <c r="F4" s="8"/>
      <c r="G4" s="8"/>
      <c r="H4" s="8"/>
      <c r="I4" s="8"/>
      <c r="J4" s="8"/>
      <c r="K4" s="8"/>
      <c r="L4" s="8"/>
      <c r="M4" s="8"/>
      <c r="N4" s="8"/>
      <c r="O4" s="8"/>
      <c r="P4" s="8"/>
      <c r="Q4" s="8"/>
      <c r="R4" s="8"/>
      <c r="S4" s="8"/>
      <c r="T4" s="8"/>
      <c r="U4" s="8"/>
      <c r="V4" s="8"/>
      <c r="W4" s="8"/>
      <c r="X4" s="8"/>
      <c r="Y4" s="8"/>
      <c r="Z4" s="8"/>
      <c r="AA4" s="8"/>
      <c r="AB4" s="8"/>
    </row>
    <row r="5" spans="1:28" x14ac:dyDescent="0.25">
      <c r="A5" s="8"/>
      <c r="B5" s="8"/>
      <c r="C5" s="8"/>
      <c r="D5" s="8"/>
      <c r="E5" s="8"/>
      <c r="F5" s="8"/>
      <c r="G5" s="8"/>
      <c r="H5" s="8"/>
      <c r="I5" s="8"/>
      <c r="J5" s="8"/>
      <c r="K5" s="8"/>
      <c r="L5" s="8"/>
      <c r="M5" s="8"/>
      <c r="N5" s="8"/>
      <c r="O5" s="8"/>
      <c r="P5" s="8"/>
      <c r="Q5" s="8"/>
      <c r="R5" s="8"/>
      <c r="S5" s="8"/>
      <c r="T5" s="8"/>
      <c r="U5" s="8"/>
      <c r="V5" s="8"/>
      <c r="W5" s="8"/>
      <c r="X5" s="8"/>
      <c r="Y5" s="8"/>
      <c r="Z5" s="8"/>
      <c r="AA5" s="8"/>
      <c r="AB5" s="8"/>
    </row>
    <row r="6" spans="1:28" x14ac:dyDescent="0.25">
      <c r="A6" s="8"/>
      <c r="B6" s="8"/>
      <c r="C6" s="8"/>
      <c r="D6" s="8"/>
      <c r="E6" s="8"/>
      <c r="F6" s="8"/>
      <c r="G6" s="8"/>
      <c r="H6" s="8"/>
      <c r="I6" s="8"/>
      <c r="J6" s="8"/>
      <c r="K6" s="8"/>
      <c r="L6" s="8"/>
      <c r="M6" s="8"/>
      <c r="N6" s="8"/>
      <c r="O6" s="8"/>
      <c r="P6" s="8"/>
      <c r="Q6" s="8"/>
      <c r="R6" s="8"/>
      <c r="S6" s="8"/>
      <c r="T6" s="8"/>
      <c r="U6" s="8"/>
      <c r="V6" s="8"/>
      <c r="W6" s="8"/>
      <c r="X6" s="8"/>
      <c r="Y6" s="8"/>
      <c r="Z6" s="8"/>
      <c r="AA6" s="8"/>
      <c r="AB6" s="8"/>
    </row>
    <row r="7" spans="1:28" x14ac:dyDescent="0.25">
      <c r="A7" s="8"/>
      <c r="B7" s="8"/>
      <c r="C7" s="8"/>
      <c r="D7" s="8"/>
      <c r="E7" s="8"/>
      <c r="F7" s="8"/>
      <c r="G7" s="8"/>
      <c r="H7" s="8"/>
      <c r="I7" s="8"/>
      <c r="J7" s="8"/>
      <c r="K7" s="8"/>
      <c r="L7" s="8"/>
      <c r="M7" s="8"/>
      <c r="N7" s="8"/>
      <c r="O7" s="8"/>
      <c r="P7" s="8"/>
      <c r="Q7" s="8"/>
      <c r="R7" s="8"/>
      <c r="S7" s="8"/>
      <c r="T7" s="8"/>
      <c r="U7" s="8"/>
      <c r="V7" s="8"/>
      <c r="W7" s="8"/>
      <c r="X7" s="8"/>
      <c r="Y7" s="8"/>
      <c r="Z7" s="8"/>
      <c r="AA7" s="8"/>
      <c r="AB7" s="8"/>
    </row>
    <row r="8" spans="1:28" x14ac:dyDescent="0.25">
      <c r="A8" s="8"/>
      <c r="B8" s="8"/>
      <c r="C8" s="8"/>
      <c r="D8" s="8"/>
      <c r="E8" s="8"/>
      <c r="F8" s="8"/>
      <c r="G8" s="8"/>
      <c r="H8" s="8"/>
      <c r="I8" s="8"/>
      <c r="J8" s="8"/>
      <c r="K8" s="8"/>
      <c r="L8" s="8"/>
      <c r="M8" s="8"/>
      <c r="N8" s="8"/>
      <c r="O8" s="8"/>
      <c r="P8" s="8"/>
      <c r="Q8" s="8"/>
      <c r="R8" s="8"/>
      <c r="S8" s="8"/>
      <c r="T8" s="8"/>
      <c r="U8" s="8"/>
      <c r="V8" s="8"/>
      <c r="W8" s="8"/>
      <c r="X8" s="8"/>
      <c r="Y8" s="8"/>
      <c r="Z8" s="8"/>
      <c r="AA8" s="8"/>
      <c r="AB8" s="8"/>
    </row>
    <row r="9" spans="1:28" x14ac:dyDescent="0.25">
      <c r="A9" s="8"/>
      <c r="B9" s="8"/>
      <c r="C9" s="8"/>
      <c r="D9" s="8"/>
      <c r="E9" s="8"/>
      <c r="F9" s="8"/>
      <c r="G9" s="8"/>
      <c r="H9" s="8"/>
      <c r="I9" s="8"/>
      <c r="J9" s="8"/>
      <c r="K9" s="8"/>
      <c r="L9" s="8"/>
      <c r="M9" s="8"/>
      <c r="N9" s="8"/>
      <c r="O9" s="8"/>
      <c r="P9" s="8"/>
      <c r="Q9" s="8"/>
      <c r="R9" s="8"/>
      <c r="S9" s="8"/>
      <c r="T9" s="8"/>
      <c r="U9" s="8"/>
      <c r="V9" s="8"/>
      <c r="W9" s="8"/>
      <c r="X9" s="8"/>
      <c r="Y9" s="8"/>
      <c r="Z9" s="8"/>
      <c r="AA9" s="8"/>
      <c r="AB9" s="8"/>
    </row>
    <row r="10" spans="1:28" x14ac:dyDescent="0.2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row>
    <row r="11" spans="1:28" x14ac:dyDescent="0.2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row>
    <row r="12" spans="1:28" x14ac:dyDescent="0.2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row>
    <row r="13" spans="1:28" x14ac:dyDescent="0.2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row>
    <row r="14" spans="1:28" x14ac:dyDescent="0.2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row>
    <row r="15" spans="1:28" x14ac:dyDescent="0.2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row>
    <row r="16" spans="1:28" x14ac:dyDescent="0.2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row>
    <row r="17" spans="1:28" x14ac:dyDescent="0.2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row>
    <row r="18" spans="1:28" x14ac:dyDescent="0.2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row>
    <row r="19" spans="1:28" x14ac:dyDescent="0.2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row>
    <row r="20" spans="1:28" x14ac:dyDescent="0.2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row>
    <row r="21" spans="1:28" x14ac:dyDescent="0.2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row>
    <row r="22" spans="1:28" x14ac:dyDescent="0.2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row>
    <row r="23" spans="1:28"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row>
    <row r="24" spans="1:28" x14ac:dyDescent="0.2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row>
    <row r="25" spans="1:28" x14ac:dyDescent="0.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row>
    <row r="26" spans="1:28" x14ac:dyDescent="0.2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row>
    <row r="27" spans="1:28" x14ac:dyDescent="0.2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row>
    <row r="28" spans="1:28" x14ac:dyDescent="0.2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row>
    <row r="29" spans="1:28" x14ac:dyDescent="0.2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row>
    <row r="30" spans="1:28" x14ac:dyDescent="0.2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row>
    <row r="31" spans="1:28" x14ac:dyDescent="0.2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row>
    <row r="32" spans="1:28" x14ac:dyDescent="0.2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row>
    <row r="33" spans="1:28" x14ac:dyDescent="0.2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row>
    <row r="34" spans="1:28" x14ac:dyDescent="0.2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row>
    <row r="35" spans="1:28" x14ac:dyDescent="0.2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row>
    <row r="36" spans="1:28" x14ac:dyDescent="0.2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row>
    <row r="37" spans="1:28" x14ac:dyDescent="0.2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row>
    <row r="38" spans="1:28" x14ac:dyDescent="0.2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row>
    <row r="39" spans="1:28" x14ac:dyDescent="0.2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row>
    <row r="40" spans="1:28" x14ac:dyDescent="0.2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row>
    <row r="41" spans="1:28" x14ac:dyDescent="0.2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row>
    <row r="42" spans="1:28" x14ac:dyDescent="0.25">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row>
    <row r="43" spans="1:28" x14ac:dyDescent="0.2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row>
    <row r="44" spans="1:28" x14ac:dyDescent="0.25">
      <c r="T44" s="8"/>
      <c r="U44" s="8"/>
      <c r="V44" s="8"/>
      <c r="W44" s="8"/>
      <c r="X44" s="8"/>
      <c r="Y44" s="8"/>
      <c r="Z44" s="8"/>
      <c r="AA44" s="8"/>
      <c r="AB44" s="8"/>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089EB-C757-492F-A4B2-CC7EA766938B}">
  <dimension ref="A1:AA29"/>
  <sheetViews>
    <sheetView workbookViewId="0">
      <selection activeCell="S9" sqref="S9"/>
    </sheetView>
  </sheetViews>
  <sheetFormatPr defaultRowHeight="15" x14ac:dyDescent="0.25"/>
  <sheetData>
    <row r="1" spans="1:27" x14ac:dyDescent="0.25">
      <c r="A1" s="5"/>
      <c r="B1" s="5"/>
      <c r="C1" s="5"/>
      <c r="D1" s="5"/>
      <c r="E1" s="5"/>
      <c r="F1" s="5"/>
      <c r="G1" s="5"/>
      <c r="H1" s="5"/>
      <c r="I1" s="5"/>
      <c r="J1" s="5"/>
      <c r="K1" s="5"/>
      <c r="L1" s="5"/>
      <c r="M1" s="5"/>
      <c r="N1" s="5"/>
      <c r="O1" s="5"/>
      <c r="P1" s="5"/>
      <c r="Q1" s="5"/>
      <c r="R1" s="5"/>
      <c r="S1" s="5"/>
      <c r="T1" s="5"/>
      <c r="U1" s="5"/>
      <c r="V1" s="5"/>
      <c r="W1" s="5"/>
      <c r="X1" s="5"/>
      <c r="Y1" s="5"/>
      <c r="Z1" s="5"/>
      <c r="AA1" s="5"/>
    </row>
    <row r="2" spans="1:27" x14ac:dyDescent="0.25">
      <c r="A2" s="5"/>
      <c r="B2" s="5"/>
      <c r="C2" s="5"/>
      <c r="D2" s="5"/>
      <c r="E2" s="5"/>
      <c r="F2" s="5"/>
      <c r="G2" s="5"/>
      <c r="H2" s="5"/>
      <c r="I2" s="5"/>
      <c r="J2" s="5"/>
      <c r="K2" s="5"/>
      <c r="L2" s="5"/>
      <c r="M2" s="5"/>
      <c r="N2" s="5"/>
      <c r="O2" s="5"/>
      <c r="P2" s="5"/>
      <c r="Q2" s="5"/>
      <c r="R2" s="5"/>
      <c r="S2" s="5"/>
      <c r="T2" s="5"/>
      <c r="U2" s="5"/>
      <c r="V2" s="5"/>
      <c r="W2" s="5"/>
      <c r="X2" s="5"/>
      <c r="Y2" s="5"/>
      <c r="Z2" s="5"/>
      <c r="AA2" s="5"/>
    </row>
    <row r="3" spans="1:27" x14ac:dyDescent="0.25">
      <c r="A3" s="5"/>
      <c r="B3" s="5"/>
      <c r="C3" s="5"/>
      <c r="D3" s="5"/>
      <c r="E3" s="5"/>
      <c r="F3" s="5"/>
      <c r="G3" s="5"/>
      <c r="H3" s="5"/>
      <c r="I3" s="5"/>
      <c r="J3" s="5"/>
      <c r="K3" s="5"/>
      <c r="L3" s="5"/>
      <c r="M3" s="5"/>
      <c r="N3" s="5"/>
      <c r="O3" s="5"/>
      <c r="P3" s="5"/>
      <c r="Q3" s="5"/>
      <c r="R3" s="5"/>
      <c r="S3" s="5"/>
      <c r="T3" s="5"/>
      <c r="U3" s="5"/>
      <c r="V3" s="5"/>
      <c r="W3" s="5"/>
      <c r="X3" s="5"/>
      <c r="Y3" s="5"/>
      <c r="Z3" s="5"/>
      <c r="AA3" s="5"/>
    </row>
    <row r="4" spans="1:27" x14ac:dyDescent="0.25">
      <c r="A4" s="5"/>
      <c r="B4" s="5"/>
      <c r="C4" s="5"/>
      <c r="D4" s="5"/>
      <c r="E4" s="5"/>
      <c r="F4" s="5"/>
      <c r="G4" s="5"/>
      <c r="H4" s="5"/>
      <c r="I4" s="5"/>
      <c r="J4" s="5"/>
      <c r="K4" s="5"/>
      <c r="L4" s="5"/>
      <c r="M4" s="5"/>
      <c r="N4" s="5"/>
      <c r="O4" s="5"/>
      <c r="P4" s="5"/>
      <c r="Q4" s="5"/>
      <c r="R4" s="5"/>
      <c r="S4" s="5"/>
      <c r="T4" s="5"/>
      <c r="U4" s="5"/>
      <c r="V4" s="5"/>
      <c r="W4" s="5"/>
      <c r="X4" s="5"/>
      <c r="Y4" s="5"/>
      <c r="Z4" s="5"/>
      <c r="AA4" s="5"/>
    </row>
    <row r="5" spans="1:27" x14ac:dyDescent="0.25">
      <c r="A5" s="5"/>
      <c r="B5" s="5"/>
      <c r="C5" s="5"/>
      <c r="D5" s="5"/>
      <c r="E5" s="5"/>
      <c r="F5" s="5"/>
      <c r="G5" s="5"/>
      <c r="H5" s="5"/>
      <c r="I5" s="5"/>
      <c r="J5" s="5"/>
      <c r="K5" s="5"/>
      <c r="L5" s="5"/>
      <c r="M5" s="5"/>
      <c r="N5" s="5"/>
      <c r="O5" s="5"/>
      <c r="P5" s="5"/>
      <c r="Q5" s="5"/>
      <c r="R5" s="5"/>
      <c r="S5" s="5"/>
      <c r="T5" s="5"/>
      <c r="U5" s="5"/>
      <c r="V5" s="5"/>
      <c r="W5" s="5"/>
      <c r="X5" s="5"/>
      <c r="Y5" s="5"/>
      <c r="Z5" s="5"/>
      <c r="AA5" s="5"/>
    </row>
    <row r="6" spans="1:27" x14ac:dyDescent="0.25">
      <c r="A6" s="5"/>
      <c r="B6" s="5"/>
      <c r="C6" s="5"/>
      <c r="D6" s="5"/>
      <c r="E6" s="5"/>
      <c r="F6" s="5"/>
      <c r="G6" s="5"/>
      <c r="H6" s="5"/>
      <c r="I6" s="5"/>
      <c r="J6" s="5"/>
      <c r="K6" s="5"/>
      <c r="L6" s="5"/>
      <c r="M6" s="5"/>
      <c r="N6" s="5"/>
      <c r="O6" s="5"/>
      <c r="P6" s="5"/>
      <c r="Q6" s="5"/>
      <c r="R6" s="5"/>
      <c r="S6" s="5"/>
      <c r="T6" s="5"/>
      <c r="U6" s="5"/>
      <c r="V6" s="5"/>
      <c r="W6" s="5"/>
      <c r="X6" s="5"/>
      <c r="Y6" s="5"/>
      <c r="Z6" s="5"/>
      <c r="AA6" s="5"/>
    </row>
    <row r="7" spans="1:27" x14ac:dyDescent="0.25">
      <c r="A7" s="5"/>
      <c r="B7" s="5"/>
      <c r="C7" s="5"/>
      <c r="D7" s="5"/>
      <c r="E7" s="5"/>
      <c r="F7" s="5"/>
      <c r="G7" s="5"/>
      <c r="H7" s="5"/>
      <c r="I7" s="5"/>
      <c r="J7" s="5"/>
      <c r="K7" s="5"/>
      <c r="L7" s="5"/>
      <c r="M7" s="5"/>
      <c r="N7" s="5"/>
      <c r="O7" s="5"/>
      <c r="P7" s="5"/>
      <c r="Q7" s="5"/>
      <c r="R7" s="5"/>
      <c r="S7" s="5"/>
      <c r="T7" s="5"/>
      <c r="U7" s="5"/>
      <c r="V7" s="5"/>
      <c r="W7" s="5"/>
      <c r="X7" s="5"/>
      <c r="Y7" s="5"/>
      <c r="Z7" s="5"/>
      <c r="AA7" s="5"/>
    </row>
    <row r="8" spans="1:27" x14ac:dyDescent="0.25">
      <c r="A8" s="5"/>
      <c r="B8" s="5"/>
      <c r="C8" s="5"/>
      <c r="D8" s="5"/>
      <c r="E8" s="5"/>
      <c r="F8" s="5"/>
      <c r="G8" s="5"/>
      <c r="H8" s="5"/>
      <c r="I8" s="5"/>
      <c r="J8" s="5"/>
      <c r="K8" s="5"/>
      <c r="L8" s="5"/>
      <c r="M8" s="5"/>
      <c r="N8" s="5"/>
      <c r="O8" s="5"/>
      <c r="P8" s="5"/>
      <c r="Q8" s="5"/>
      <c r="R8" s="5"/>
      <c r="S8" s="5"/>
      <c r="T8" s="5"/>
      <c r="U8" s="5"/>
      <c r="V8" s="5"/>
      <c r="W8" s="5"/>
      <c r="X8" s="5"/>
      <c r="Y8" s="5"/>
      <c r="Z8" s="5"/>
      <c r="AA8" s="5"/>
    </row>
    <row r="9" spans="1:27" x14ac:dyDescent="0.25">
      <c r="A9" s="5"/>
      <c r="B9" s="5"/>
      <c r="C9" s="5"/>
      <c r="D9" s="5"/>
      <c r="E9" s="5"/>
      <c r="F9" s="5"/>
      <c r="G9" s="5"/>
      <c r="H9" s="5"/>
      <c r="I9" s="5"/>
      <c r="J9" s="5"/>
      <c r="K9" s="5"/>
      <c r="L9" s="5"/>
      <c r="M9" s="5"/>
      <c r="N9" s="5"/>
      <c r="O9" s="5"/>
      <c r="P9" s="5"/>
      <c r="Q9" s="5"/>
      <c r="R9" s="5"/>
      <c r="S9" s="5"/>
      <c r="T9" s="5"/>
      <c r="U9" s="5"/>
      <c r="V9" s="5"/>
      <c r="W9" s="5"/>
      <c r="X9" s="5"/>
      <c r="Y9" s="5"/>
      <c r="Z9" s="5"/>
      <c r="AA9" s="5"/>
    </row>
    <row r="10" spans="1:27" x14ac:dyDescent="0.25">
      <c r="A10" s="5"/>
      <c r="B10" s="5"/>
      <c r="C10" s="5"/>
      <c r="D10" s="5"/>
      <c r="E10" s="5"/>
      <c r="F10" s="5"/>
      <c r="G10" s="5"/>
      <c r="H10" s="5"/>
      <c r="I10" s="5"/>
      <c r="J10" s="5"/>
      <c r="K10" s="5"/>
      <c r="L10" s="5"/>
      <c r="M10" s="5"/>
      <c r="N10" s="5"/>
      <c r="O10" s="5"/>
      <c r="P10" s="5"/>
      <c r="Q10" s="5"/>
      <c r="R10" s="5"/>
      <c r="S10" s="5"/>
      <c r="T10" s="5"/>
      <c r="U10" s="5"/>
      <c r="V10" s="5"/>
      <c r="W10" s="5"/>
      <c r="X10" s="5"/>
      <c r="Y10" s="5"/>
      <c r="Z10" s="5"/>
      <c r="AA10" s="5"/>
    </row>
    <row r="11" spans="1:27"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row>
    <row r="12" spans="1:27"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row>
    <row r="13" spans="1:27"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row>
    <row r="14" spans="1:27"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spans="1:27"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spans="1:27"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spans="1:27"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spans="1:27"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spans="1:27"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spans="1:27"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spans="1:27"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spans="1:27"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spans="1:27" x14ac:dyDescent="0.25">
      <c r="A23" s="5"/>
      <c r="B23" s="5"/>
      <c r="C23" s="18" t="s">
        <v>47</v>
      </c>
      <c r="D23" s="19"/>
      <c r="E23" s="19"/>
      <c r="F23" s="19"/>
      <c r="G23" s="19"/>
      <c r="H23" s="19"/>
      <c r="I23" s="19"/>
      <c r="J23" s="19"/>
      <c r="K23" s="19"/>
      <c r="L23" s="19"/>
      <c r="M23" s="19"/>
      <c r="N23" s="5"/>
      <c r="O23" s="5"/>
      <c r="P23" s="5"/>
      <c r="Q23" s="5"/>
      <c r="R23" s="5"/>
      <c r="S23" s="5"/>
      <c r="T23" s="5"/>
      <c r="U23" s="5"/>
      <c r="V23" s="5"/>
      <c r="W23" s="5"/>
      <c r="X23" s="5"/>
      <c r="Y23" s="5"/>
      <c r="Z23" s="5"/>
      <c r="AA23" s="5"/>
    </row>
    <row r="24" spans="1:27"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spans="1:27"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spans="1:27"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spans="1:27"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spans="1:27"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spans="1:27"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row>
  </sheetData>
  <mergeCells count="1">
    <mergeCell ref="C23:M2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6DA70-81F1-49D3-B3EA-27D96F3BBF72}">
  <dimension ref="A1:AA29"/>
  <sheetViews>
    <sheetView workbookViewId="0">
      <selection activeCell="B22" sqref="B22"/>
    </sheetView>
  </sheetViews>
  <sheetFormatPr defaultRowHeight="15" x14ac:dyDescent="0.25"/>
  <sheetData>
    <row r="1" spans="1:27" x14ac:dyDescent="0.25">
      <c r="A1" s="5"/>
      <c r="B1" s="5"/>
      <c r="C1" s="5"/>
      <c r="D1" s="5"/>
      <c r="E1" s="5"/>
      <c r="F1" s="5"/>
      <c r="G1" s="5"/>
      <c r="H1" s="5"/>
      <c r="I1" s="5"/>
      <c r="J1" s="5"/>
      <c r="K1" s="5"/>
      <c r="L1" s="5"/>
      <c r="M1" s="5"/>
      <c r="N1" s="5"/>
      <c r="O1" s="5"/>
      <c r="P1" s="5"/>
      <c r="Q1" s="5"/>
      <c r="R1" s="5"/>
      <c r="S1" s="5"/>
      <c r="T1" s="5"/>
      <c r="U1" s="5"/>
      <c r="V1" s="5"/>
      <c r="W1" s="5"/>
      <c r="X1" s="5"/>
      <c r="Y1" s="5"/>
      <c r="Z1" s="5"/>
      <c r="AA1" s="5"/>
    </row>
    <row r="2" spans="1:27" x14ac:dyDescent="0.25">
      <c r="A2" s="5"/>
      <c r="B2" s="5"/>
      <c r="C2" s="5"/>
      <c r="D2" s="5"/>
      <c r="E2" s="5"/>
      <c r="F2" s="5"/>
      <c r="G2" s="5"/>
      <c r="H2" s="5"/>
      <c r="I2" s="5"/>
      <c r="J2" s="5"/>
      <c r="K2" s="5"/>
      <c r="L2" s="5"/>
      <c r="M2" s="5"/>
      <c r="N2" s="5"/>
      <c r="O2" s="5"/>
      <c r="P2" s="5"/>
      <c r="Q2" s="5"/>
      <c r="R2" s="5"/>
      <c r="S2" s="5"/>
      <c r="T2" s="5"/>
      <c r="U2" s="5"/>
      <c r="V2" s="5"/>
      <c r="W2" s="5"/>
      <c r="X2" s="5"/>
      <c r="Y2" s="5"/>
      <c r="Z2" s="5"/>
      <c r="AA2" s="5"/>
    </row>
    <row r="3" spans="1:27" x14ac:dyDescent="0.25">
      <c r="A3" s="5"/>
      <c r="B3" s="5"/>
      <c r="C3" s="5"/>
      <c r="D3" s="5"/>
      <c r="E3" s="5"/>
      <c r="F3" s="5"/>
      <c r="G3" s="5"/>
      <c r="H3" s="5"/>
      <c r="I3" s="5"/>
      <c r="J3" s="5"/>
      <c r="K3" s="5"/>
      <c r="L3" s="5"/>
      <c r="M3" s="5"/>
      <c r="N3" s="5"/>
      <c r="O3" s="5"/>
      <c r="P3" s="5"/>
      <c r="Q3" s="5"/>
      <c r="R3" s="5"/>
      <c r="S3" s="5"/>
      <c r="T3" s="5"/>
      <c r="U3" s="5"/>
      <c r="V3" s="5"/>
      <c r="W3" s="5"/>
      <c r="X3" s="5"/>
      <c r="Y3" s="5"/>
      <c r="Z3" s="5"/>
      <c r="AA3" s="5"/>
    </row>
    <row r="4" spans="1:27" x14ac:dyDescent="0.25">
      <c r="A4" s="5"/>
      <c r="B4" s="5"/>
      <c r="C4" s="5"/>
      <c r="D4" s="5"/>
      <c r="E4" s="5"/>
      <c r="F4" s="5"/>
      <c r="G4" s="5"/>
      <c r="H4" s="5"/>
      <c r="I4" s="5"/>
      <c r="J4" s="5"/>
      <c r="K4" s="5"/>
      <c r="L4" s="5"/>
      <c r="M4" s="5"/>
      <c r="N4" s="5"/>
      <c r="O4" s="5"/>
      <c r="P4" s="5"/>
      <c r="Q4" s="5"/>
      <c r="R4" s="5"/>
      <c r="S4" s="5"/>
      <c r="T4" s="5"/>
      <c r="U4" s="5"/>
      <c r="V4" s="5"/>
      <c r="W4" s="5"/>
      <c r="X4" s="5"/>
      <c r="Y4" s="5"/>
      <c r="Z4" s="5"/>
      <c r="AA4" s="5"/>
    </row>
    <row r="5" spans="1:27" x14ac:dyDescent="0.25">
      <c r="A5" s="5"/>
      <c r="B5" s="5"/>
      <c r="C5" s="5"/>
      <c r="D5" s="5"/>
      <c r="E5" s="5"/>
      <c r="F5" s="5"/>
      <c r="G5" s="5"/>
      <c r="H5" s="5"/>
      <c r="I5" s="5"/>
      <c r="J5" s="5"/>
      <c r="K5" s="5"/>
      <c r="L5" s="5"/>
      <c r="M5" s="5"/>
      <c r="N5" s="5"/>
      <c r="O5" s="5"/>
      <c r="P5" s="5"/>
      <c r="Q5" s="5"/>
      <c r="R5" s="5"/>
      <c r="S5" s="5"/>
      <c r="T5" s="5"/>
      <c r="U5" s="5"/>
      <c r="V5" s="5"/>
      <c r="W5" s="5"/>
      <c r="X5" s="5"/>
      <c r="Y5" s="5"/>
      <c r="Z5" s="5"/>
      <c r="AA5" s="5"/>
    </row>
    <row r="6" spans="1:27" x14ac:dyDescent="0.25">
      <c r="A6" s="5"/>
      <c r="B6" s="5"/>
      <c r="C6" s="5"/>
      <c r="D6" s="5"/>
      <c r="E6" s="5"/>
      <c r="F6" s="5"/>
      <c r="G6" s="5"/>
      <c r="H6" s="5"/>
      <c r="I6" s="5"/>
      <c r="J6" s="5"/>
      <c r="K6" s="5"/>
      <c r="L6" s="5"/>
      <c r="M6" s="5"/>
      <c r="N6" s="5"/>
      <c r="O6" s="5"/>
      <c r="P6" s="5"/>
      <c r="Q6" s="5"/>
      <c r="R6" s="5"/>
      <c r="S6" s="5"/>
      <c r="T6" s="5"/>
      <c r="U6" s="5"/>
      <c r="V6" s="5"/>
      <c r="W6" s="5"/>
      <c r="X6" s="5"/>
      <c r="Y6" s="5"/>
      <c r="Z6" s="5"/>
      <c r="AA6" s="5"/>
    </row>
    <row r="7" spans="1:27" x14ac:dyDescent="0.25">
      <c r="A7" s="5"/>
      <c r="B7" s="5"/>
      <c r="C7" s="5"/>
      <c r="D7" s="5"/>
      <c r="E7" s="5"/>
      <c r="F7" s="5"/>
      <c r="G7" s="5"/>
      <c r="H7" s="5"/>
      <c r="I7" s="5"/>
      <c r="J7" s="5"/>
      <c r="K7" s="5"/>
      <c r="L7" s="5"/>
      <c r="M7" s="5"/>
      <c r="N7" s="5"/>
      <c r="O7" s="5"/>
      <c r="P7" s="5"/>
      <c r="Q7" s="5"/>
      <c r="R7" s="5"/>
      <c r="S7" s="5"/>
      <c r="T7" s="5"/>
      <c r="U7" s="5"/>
      <c r="V7" s="5"/>
      <c r="W7" s="5"/>
      <c r="X7" s="5"/>
      <c r="Y7" s="5"/>
      <c r="Z7" s="5"/>
      <c r="AA7" s="5"/>
    </row>
    <row r="8" spans="1:27" x14ac:dyDescent="0.25">
      <c r="A8" s="5"/>
      <c r="B8" s="5"/>
      <c r="C8" s="5"/>
      <c r="D8" s="5"/>
      <c r="E8" s="5"/>
      <c r="F8" s="5"/>
      <c r="G8" s="5"/>
      <c r="H8" s="5"/>
      <c r="I8" s="5"/>
      <c r="J8" s="5"/>
      <c r="K8" s="5"/>
      <c r="L8" s="5"/>
      <c r="M8" s="5"/>
      <c r="N8" s="5"/>
      <c r="O8" s="5"/>
      <c r="P8" s="5"/>
      <c r="Q8" s="5"/>
      <c r="R8" s="5"/>
      <c r="S8" s="5"/>
      <c r="T8" s="5"/>
      <c r="U8" s="5"/>
      <c r="V8" s="5"/>
      <c r="W8" s="5"/>
      <c r="X8" s="5"/>
      <c r="Y8" s="5"/>
      <c r="Z8" s="5"/>
      <c r="AA8" s="5"/>
    </row>
    <row r="9" spans="1:27" x14ac:dyDescent="0.25">
      <c r="A9" s="5"/>
      <c r="B9" s="5"/>
      <c r="C9" s="5"/>
      <c r="D9" s="5"/>
      <c r="E9" s="5"/>
      <c r="F9" s="5"/>
      <c r="G9" s="5"/>
      <c r="H9" s="5"/>
      <c r="I9" s="5"/>
      <c r="J9" s="5"/>
      <c r="K9" s="5"/>
      <c r="L9" s="5"/>
      <c r="M9" s="5"/>
      <c r="N9" s="5"/>
      <c r="O9" s="5"/>
      <c r="P9" s="5"/>
      <c r="Q9" s="5"/>
      <c r="R9" s="5"/>
      <c r="S9" s="5"/>
      <c r="T9" s="5"/>
      <c r="U9" s="5"/>
      <c r="V9" s="5"/>
      <c r="W9" s="5"/>
      <c r="X9" s="5"/>
      <c r="Y9" s="5"/>
      <c r="Z9" s="5"/>
      <c r="AA9" s="5"/>
    </row>
    <row r="10" spans="1:27" x14ac:dyDescent="0.25">
      <c r="A10" s="5"/>
      <c r="B10" s="5"/>
      <c r="C10" s="5"/>
      <c r="D10" s="5"/>
      <c r="E10" s="5"/>
      <c r="F10" s="5"/>
      <c r="G10" s="5"/>
      <c r="H10" s="5"/>
      <c r="I10" s="5"/>
      <c r="J10" s="5"/>
      <c r="K10" s="5"/>
      <c r="L10" s="5"/>
      <c r="M10" s="5"/>
      <c r="N10" s="5"/>
      <c r="O10" s="5"/>
      <c r="P10" s="5"/>
      <c r="Q10" s="5"/>
      <c r="R10" s="5"/>
      <c r="S10" s="5"/>
      <c r="T10" s="5"/>
      <c r="U10" s="5"/>
      <c r="V10" s="5"/>
      <c r="W10" s="5"/>
      <c r="X10" s="5"/>
      <c r="Y10" s="5"/>
      <c r="Z10" s="5"/>
      <c r="AA10" s="5"/>
    </row>
    <row r="11" spans="1:27"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row>
    <row r="12" spans="1:27"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row>
    <row r="13" spans="1:27"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row>
    <row r="14" spans="1:27"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spans="1:27"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spans="1:27"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spans="1:27"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spans="1:27"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spans="1:27"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spans="1:27"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spans="1:27"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spans="1:27"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spans="1:27" x14ac:dyDescent="0.25">
      <c r="A23" s="5"/>
      <c r="B23" s="5"/>
      <c r="C23" s="18" t="s">
        <v>48</v>
      </c>
      <c r="D23" s="19"/>
      <c r="E23" s="19"/>
      <c r="F23" s="19"/>
      <c r="G23" s="19"/>
      <c r="H23" s="19"/>
      <c r="I23" s="19"/>
      <c r="J23" s="19"/>
      <c r="K23" s="19"/>
      <c r="L23" s="19"/>
      <c r="M23" s="19"/>
      <c r="N23" s="5"/>
      <c r="O23" s="5"/>
      <c r="P23" s="5"/>
      <c r="Q23" s="5"/>
      <c r="R23" s="5"/>
      <c r="S23" s="5"/>
      <c r="T23" s="5"/>
      <c r="U23" s="5"/>
      <c r="V23" s="5"/>
      <c r="W23" s="5"/>
      <c r="X23" s="5"/>
      <c r="Y23" s="5"/>
      <c r="Z23" s="5"/>
      <c r="AA23" s="5"/>
    </row>
    <row r="24" spans="1:27"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spans="1:27"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spans="1:27"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spans="1:27"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spans="1:27"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spans="1:27"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row>
  </sheetData>
  <mergeCells count="1">
    <mergeCell ref="C23:M2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C6E334D4-1158-440A-9FD4-8FCBC31C76EA}">
  <ds:schemaRefs/>
</ds:datastoreItem>
</file>

<file path=customXml/itemProps2.xml><?xml version="1.0" encoding="utf-8"?>
<ds:datastoreItem xmlns:ds="http://schemas.openxmlformats.org/officeDocument/2006/customXml" ds:itemID="{39777B8C-A72F-4524-A0B8-D4DE23B82FBD}">
  <ds:schemaRefs/>
</ds:datastoreItem>
</file>

<file path=customXml/itemProps3.xml><?xml version="1.0" encoding="utf-8"?>
<ds:datastoreItem xmlns:ds="http://schemas.openxmlformats.org/officeDocument/2006/customXml" ds:itemID="{223DACB7-FCE9-4180-B9D1-43C4D38009D7}">
  <ds:schemaRefs/>
</ds:datastoreItem>
</file>

<file path=customXml/itemProps4.xml><?xml version="1.0" encoding="utf-8"?>
<ds:datastoreItem xmlns:ds="http://schemas.openxmlformats.org/officeDocument/2006/customXml" ds:itemID="{49620896-23F9-4D38-B8A7-4E93A0C2B39B}">
  <ds:schemaRefs/>
</ds:datastoreItem>
</file>

<file path=customXml/itemProps5.xml><?xml version="1.0" encoding="utf-8"?>
<ds:datastoreItem xmlns:ds="http://schemas.openxmlformats.org/officeDocument/2006/customXml" ds:itemID="{B7C88185-CD64-44B8-A703-FC6D891B84BF}">
  <ds:schemaRefs>
    <ds:schemaRef ds:uri="http://schemas.microsoft.com/DataMashup"/>
  </ds:schemaRefs>
</ds:datastoreItem>
</file>

<file path=customXml/itemProps6.xml><?xml version="1.0" encoding="utf-8"?>
<ds:datastoreItem xmlns:ds="http://schemas.openxmlformats.org/officeDocument/2006/customXml" ds:itemID="{15C6872C-4D84-4A76-A1B1-21745852495C}">
  <ds:schemaRefs/>
</ds:datastoreItem>
</file>

<file path=customXml/itemProps7.xml><?xml version="1.0" encoding="utf-8"?>
<ds:datastoreItem xmlns:ds="http://schemas.openxmlformats.org/officeDocument/2006/customXml" ds:itemID="{3E839E50-9B7D-4E42-8FE0-CB0FB4163AD9}">
  <ds:schemaRefs/>
</ds:datastoreItem>
</file>

<file path=customXml/itemProps8.xml><?xml version="1.0" encoding="utf-8"?>
<ds:datastoreItem xmlns:ds="http://schemas.openxmlformats.org/officeDocument/2006/customXml" ds:itemID="{5ECA33F3-7012-4D68-A401-F033BE0BBBEA}">
  <ds:schemaRefs/>
</ds:datastoreItem>
</file>

<file path=customXml/itemProps9.xml><?xml version="1.0" encoding="utf-8"?>
<ds:datastoreItem xmlns:ds="http://schemas.openxmlformats.org/officeDocument/2006/customXml" ds:itemID="{AEF50301-107F-41D2-A2DD-A5CDB2A4DEBA}">
  <ds:schemaRefs/>
</ds:datastoreItem>
</file>

<file path=customXml/itemProps10.xml><?xml version="1.0" encoding="utf-8"?>
<ds:datastoreItem xmlns:ds="http://schemas.openxmlformats.org/officeDocument/2006/customXml" ds:itemID="{5B34D2EF-050C-431E-8796-0A41685A49F9}">
  <ds:schemaRefs/>
</ds:datastoreItem>
</file>

<file path=customXml/itemProps11.xml><?xml version="1.0" encoding="utf-8"?>
<ds:datastoreItem xmlns:ds="http://schemas.openxmlformats.org/officeDocument/2006/customXml" ds:itemID="{A675D855-DD9C-4EB9-A035-3E3542770335}">
  <ds:schemaRefs/>
</ds:datastoreItem>
</file>

<file path=customXml/itemProps12.xml><?xml version="1.0" encoding="utf-8"?>
<ds:datastoreItem xmlns:ds="http://schemas.openxmlformats.org/officeDocument/2006/customXml" ds:itemID="{A655FA68-DE82-47AB-99D8-2967B576ABBA}">
  <ds:schemaRefs/>
</ds:datastoreItem>
</file>

<file path=customXml/itemProps13.xml><?xml version="1.0" encoding="utf-8"?>
<ds:datastoreItem xmlns:ds="http://schemas.openxmlformats.org/officeDocument/2006/customXml" ds:itemID="{52172E38-55D5-49D4-B387-A8923704125D}">
  <ds:schemaRefs/>
</ds:datastoreItem>
</file>

<file path=customXml/itemProps14.xml><?xml version="1.0" encoding="utf-8"?>
<ds:datastoreItem xmlns:ds="http://schemas.openxmlformats.org/officeDocument/2006/customXml" ds:itemID="{EBB2B984-B4A5-4ADA-A53F-A83D7F1E0A53}">
  <ds:schemaRefs/>
</ds:datastoreItem>
</file>

<file path=customXml/itemProps15.xml><?xml version="1.0" encoding="utf-8"?>
<ds:datastoreItem xmlns:ds="http://schemas.openxmlformats.org/officeDocument/2006/customXml" ds:itemID="{A1F2B246-8B65-4BC8-82EA-C2AF3B0B579A}">
  <ds:schemaRefs/>
</ds:datastoreItem>
</file>

<file path=customXml/itemProps16.xml><?xml version="1.0" encoding="utf-8"?>
<ds:datastoreItem xmlns:ds="http://schemas.openxmlformats.org/officeDocument/2006/customXml" ds:itemID="{41117160-1917-4B3D-A6E9-FF09306BD16E}">
  <ds:schemaRefs/>
</ds:datastoreItem>
</file>

<file path=customXml/itemProps17.xml><?xml version="1.0" encoding="utf-8"?>
<ds:datastoreItem xmlns:ds="http://schemas.openxmlformats.org/officeDocument/2006/customXml" ds:itemID="{0402D895-2992-4615-9899-26C4459DDB45}">
  <ds:schemaRefs/>
</ds:datastoreItem>
</file>

<file path=customXml/itemProps18.xml><?xml version="1.0" encoding="utf-8"?>
<ds:datastoreItem xmlns:ds="http://schemas.openxmlformats.org/officeDocument/2006/customXml" ds:itemID="{21163FC0-3902-4743-AA99-FBDB81B5F552}">
  <ds:schemaRefs/>
</ds:datastoreItem>
</file>

<file path=customXml/itemProps19.xml><?xml version="1.0" encoding="utf-8"?>
<ds:datastoreItem xmlns:ds="http://schemas.openxmlformats.org/officeDocument/2006/customXml" ds:itemID="{25A92326-A1E8-42DE-90DA-324F58B09B7A}">
  <ds:schemaRefs/>
</ds:datastoreItem>
</file>

<file path=customXml/itemProps20.xml><?xml version="1.0" encoding="utf-8"?>
<ds:datastoreItem xmlns:ds="http://schemas.openxmlformats.org/officeDocument/2006/customXml" ds:itemID="{409267A5-1FD9-48BD-BDBF-7FE02F3930CB}">
  <ds:schemaRefs/>
</ds:datastoreItem>
</file>

<file path=customXml/itemProps21.xml><?xml version="1.0" encoding="utf-8"?>
<ds:datastoreItem xmlns:ds="http://schemas.openxmlformats.org/officeDocument/2006/customXml" ds:itemID="{C0422D66-1FF4-4BD9-8511-670F92B6A636}">
  <ds:schemaRefs/>
</ds:datastoreItem>
</file>

<file path=customXml/itemProps22.xml><?xml version="1.0" encoding="utf-8"?>
<ds:datastoreItem xmlns:ds="http://schemas.openxmlformats.org/officeDocument/2006/customXml" ds:itemID="{4D4967E1-164A-4F60-9A35-AD21134F9F80}">
  <ds:schemaRefs/>
</ds:datastoreItem>
</file>

<file path=customXml/itemProps23.xml><?xml version="1.0" encoding="utf-8"?>
<ds:datastoreItem xmlns:ds="http://schemas.openxmlformats.org/officeDocument/2006/customXml" ds:itemID="{0A07D4A1-86E9-4A43-80FC-886310397D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pivot_tables</vt:lpstr>
      <vt:lpstr>daily_er_no_of_patients</vt:lpstr>
      <vt:lpstr>dashboard</vt:lpstr>
      <vt:lpstr>avg_waittime</vt:lpstr>
      <vt:lpstr>avg_satisfaction_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ronan</dc:creator>
  <cp:lastModifiedBy>ronan</cp:lastModifiedBy>
  <dcterms:created xsi:type="dcterms:W3CDTF">2025-07-26T12:41:09Z</dcterms:created>
  <dcterms:modified xsi:type="dcterms:W3CDTF">2025-07-27T16:52:51Z</dcterms:modified>
</cp:coreProperties>
</file>